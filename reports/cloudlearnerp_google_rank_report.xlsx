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ank Report" sheetId="1" state="visible" r:id="rId3"/>
    <sheet name="Summary" sheetId="2" state="visible" r:id="rId4"/>
    <sheet name="Methodology" sheetId="3" state="visible" r:id="rId5"/>
  </sheets>
  <definedNames>
    <definedName function="false" hidden="true" localSheetId="0" name="_xlnm._FilterDatabase" vbProcedure="false">'Rank Report'!$A$4:$K$85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<sst xmlns="http://schemas.openxmlformats.org/spreadsheetml/2006/main" count="765" uniqueCount="168">
  <si>
    <t xml:space="preserve">Google Rank Report – www.cloudlearnerp.com</t>
  </si>
  <si>
    <t xml:space="preserve">Search engine: google.com (Google India, English). Report date: 12-Oct-2026. Positions are organic positions (ads, maps &amp; People-Also-Ask boxes excluded).</t>
  </si>
  <si>
    <t xml:space="preserve">#</t>
  </si>
  <si>
    <t xml:space="preserve">Group</t>
  </si>
  <si>
    <t xml:space="preserve">Keyword</t>
  </si>
  <si>
    <t xml:space="preserve">City</t>
  </si>
  <si>
    <t xml:space="preserve">Google Organic Position</t>
  </si>
  <si>
    <t xml:space="preserve">Google Maps (Local Pack) Position</t>
  </si>
  <si>
    <t xml:space="preserve">Ranking URL</t>
  </si>
  <si>
    <t xml:space="preserve">Status</t>
  </si>
  <si>
    <t xml:space="preserve">Data Source</t>
  </si>
  <si>
    <t xml:space="preserve">Data Date</t>
  </si>
  <si>
    <t xml:space="preserve">Notes</t>
  </si>
  <si>
    <t xml:space="preserve">Kolkata – General</t>
  </si>
  <si>
    <t xml:space="preserve">Best SAP Training in Kolkata</t>
  </si>
  <si>
    <t xml:space="preserve">Kolkata</t>
  </si>
  <si>
    <t xml:space="preserve">Not verified</t>
  </si>
  <si>
    <t xml:space="preserve">Not covered</t>
  </si>
  <si>
    <t xml:space="preserve">—</t>
  </si>
  <si>
    <t xml:space="preserve">Not in ranking database (low search volume or not in top 100) and no live credits left to check.</t>
  </si>
  <si>
    <t xml:space="preserve">SAP Training Kolkata</t>
  </si>
  <si>
    <t xml:space="preserve">Not in top 14</t>
  </si>
  <si>
    <t xml:space="preserve">Not in top 15 (live)</t>
  </si>
  <si>
    <t xml:space="preserve">Live Google SERP (city-level, desktop)</t>
  </si>
  <si>
    <t xml:space="preserve">12-Oct-2026</t>
  </si>
  <si>
    <t xml:space="preserve">Top 3: training.sap.com, emeacademy.co.in, eduwatts.com</t>
  </si>
  <si>
    <t xml:space="preserve">SAP Training in KOLKATA</t>
  </si>
  <si>
    <t xml:space="preserve">Not in top 15</t>
  </si>
  <si>
    <t xml:space="preserve">Top 3: umesl.co.in, theknowledgeacademy.com, sulekha.com</t>
  </si>
  <si>
    <t xml:space="preserve">Best ERP training institute in Kolkata</t>
  </si>
  <si>
    <t xml:space="preserve">https://cloudlearnerp.com/blog/2026/07/26/best-erp-training-institute-in-kolkata-sap-vs-other-erps-a-career-comparison/</t>
  </si>
  <si>
    <t xml:space="preserve">Page 1 (4–10)</t>
  </si>
  <si>
    <t xml:space="preserve">Also #2 in Google Maps local pack (after UN IT ERP Academy)</t>
  </si>
  <si>
    <t xml:space="preserve">SAP Training Institute in Kolkata</t>
  </si>
  <si>
    <t xml:space="preserve">n/a</t>
  </si>
  <si>
    <t xml:space="preserve">https://www.cloudlearnerp.com/</t>
  </si>
  <si>
    <t xml:space="preserve">Google India ranking database (national)</t>
  </si>
  <si>
    <t xml:space="preserve">12–17 Sep 2026</t>
  </si>
  <si>
    <t xml:space="preserve">Best SAP Training Institute in Kolkata</t>
  </si>
  <si>
    <t xml:space="preserve">Top 3: community.sap.com, besttrainingkolkata.in, umesl.co.in</t>
  </si>
  <si>
    <t xml:space="preserve">SAP Training Academy Kolkata</t>
  </si>
  <si>
    <t xml:space="preserve">SAP course in Kolkata</t>
  </si>
  <si>
    <t xml:space="preserve">Page 2 (11–20)</t>
  </si>
  <si>
    <t xml:space="preserve">Also 'sap courses in kolkata' = 14</t>
  </si>
  <si>
    <t xml:space="preserve">Best institute for SAP course in Kolkata</t>
  </si>
  <si>
    <t xml:space="preserve">SAP course in kolkata fees</t>
  </si>
  <si>
    <t xml:space="preserve">https://www.cloudlearnerp.com/course/sap-training-in-kolkata</t>
  </si>
  <si>
    <t xml:space="preserve">Top 3: icajobguarantee.com, collegedunia.com, emeacademy.co.in</t>
  </si>
  <si>
    <t xml:space="preserve">SAP Institute in Kolkata</t>
  </si>
  <si>
    <t xml:space="preserve">Mumbai – General</t>
  </si>
  <si>
    <t xml:space="preserve">Best SAP Training in Mumbai</t>
  </si>
  <si>
    <t xml:space="preserve">Mumbai</t>
  </si>
  <si>
    <t xml:space="preserve">SAP Training Mumbai</t>
  </si>
  <si>
    <t xml:space="preserve">SAP Training in Mumbai</t>
  </si>
  <si>
    <t xml:space="preserve">Top 3: training.sap.com, sapeducation.atos.net, aspireit.net</t>
  </si>
  <si>
    <t xml:space="preserve">Best ERP training institute in Mumbai</t>
  </si>
  <si>
    <t xml:space="preserve">SAP Training Institute in Mumbai</t>
  </si>
  <si>
    <t xml:space="preserve">National database (Sep) showed 13 for 'sap training institute mumbai'</t>
  </si>
  <si>
    <t xml:space="preserve">Best SAP Training Institute in Mumbai</t>
  </si>
  <si>
    <t xml:space="preserve">Not in top 16</t>
  </si>
  <si>
    <t xml:space="preserve">Top 3: upgradeinfotech.com, mumbai.emeacademy.co.in, justdial.com</t>
  </si>
  <si>
    <t xml:space="preserve">SAP Training Academy Mumbai</t>
  </si>
  <si>
    <t xml:space="preserve">SAP course in Mumbai</t>
  </si>
  <si>
    <t xml:space="preserve">Also 'sap classes in mumbai' = 14 (Mumbai course page)</t>
  </si>
  <si>
    <t xml:space="preserve">Best institute for SAP course in Mumbai</t>
  </si>
  <si>
    <t xml:space="preserve">SAP course in Mumbai fees</t>
  </si>
  <si>
    <t xml:space="preserve">Top 3</t>
  </si>
  <si>
    <t xml:space="preserve">Only training.sap.com ranks above. National database (Sep) showed 11 for 'sap course fees in mumbai' (blog page)</t>
  </si>
  <si>
    <t xml:space="preserve">SAP Institute in Mumbai</t>
  </si>
  <si>
    <t xml:space="preserve">Pune – General</t>
  </si>
  <si>
    <t xml:space="preserve">Best SAP Training in Pune</t>
  </si>
  <si>
    <t xml:space="preserve">Pune</t>
  </si>
  <si>
    <t xml:space="preserve">SAP Training Pune</t>
  </si>
  <si>
    <t xml:space="preserve">SAP Training in Pune</t>
  </si>
  <si>
    <t xml:space="preserve">Top 3: delphicomputech.com, elearningsolutions.co.in, gtracademy.org</t>
  </si>
  <si>
    <t xml:space="preserve">Best ERP training institute in Pune</t>
  </si>
  <si>
    <t xml:space="preserve">SAP Training Institute in Pune</t>
  </si>
  <si>
    <t xml:space="preserve">National database (Sep) showed 10 for 'sap training institute pune' – ranks better outside Pune city</t>
  </si>
  <si>
    <t xml:space="preserve">Best SAP Training Institute in Pune</t>
  </si>
  <si>
    <t xml:space="preserve">Top 3: training.sap.com, cromacampus.com, training.sap.com</t>
  </si>
  <si>
    <t xml:space="preserve">SAP Training Academy Pune</t>
  </si>
  <si>
    <t xml:space="preserve">SAP course in Pune</t>
  </si>
  <si>
    <t xml:space="preserve">https://www.cloudlearnerp.com/course/sap-training-in-pune</t>
  </si>
  <si>
    <t xml:space="preserve">Page 3+ (21–100)</t>
  </si>
  <si>
    <t xml:space="preserve">Best institute for SAP course in Pune</t>
  </si>
  <si>
    <t xml:space="preserve">SAP course in Pune fees</t>
  </si>
  <si>
    <t xml:space="preserve">National database (Sep) showed 35 for 'sap course fees in pune'</t>
  </si>
  <si>
    <t xml:space="preserve">SAP Institute in Pune</t>
  </si>
  <si>
    <t xml:space="preserve">Kolkata – SAP Modules</t>
  </si>
  <si>
    <t xml:space="preserve">SAP FICO Training Kolkata</t>
  </si>
  <si>
    <t xml:space="preserve">#1 in Google Maps local pack. Organic top 3: icajobguarantee.com, erpficotrainingkolkata.com, emeacademy.co.in</t>
  </si>
  <si>
    <t xml:space="preserve">SAP MM Training Kolkata</t>
  </si>
  <si>
    <t xml:space="preserve">Not in ranking database (low search volume or not in top 100) and no live credits left to check. Related: 'sap mm course in pune' = 18 nationally.</t>
  </si>
  <si>
    <t xml:space="preserve">SAP SD Training Kolkata</t>
  </si>
  <si>
    <t xml:space="preserve">SAP ABAP Training Kolkata</t>
  </si>
  <si>
    <t xml:space="preserve">Not in ranking database (low search volume or not in top 100) and no live credits left to check. Related: generic 'sap abap development for hana' = 42 nationally.</t>
  </si>
  <si>
    <t xml:space="preserve">SAP BASIS Training Kolkata</t>
  </si>
  <si>
    <t xml:space="preserve">Not in ranking database (low search volume or not in top 100) and no live credits left to check. Related: generic 'sap basis training' = 48 nationally.</t>
  </si>
  <si>
    <t xml:space="preserve">SAP HANA Training Kolkata</t>
  </si>
  <si>
    <t xml:space="preserve">Not in ranking database (low search volume or not in top 100) and no live credits left to check. Related: generic 'sap hana development training' = 29 nationally.</t>
  </si>
  <si>
    <t xml:space="preserve">SAP PP Training Kolkata</t>
  </si>
  <si>
    <t xml:space="preserve">SAP QM Training Kolkata</t>
  </si>
  <si>
    <t xml:space="preserve">Not in ranking database (low search volume or not in top 100) and no live credits left to check. Related: generic 'sap qm course' = 34 nationally.</t>
  </si>
  <si>
    <t xml:space="preserve">SAP BW Training Kolkata</t>
  </si>
  <si>
    <t xml:space="preserve">SAP BI Training Kolkata</t>
  </si>
  <si>
    <t xml:space="preserve">SAP EWM Training Kolkata</t>
  </si>
  <si>
    <t xml:space="preserve">Not in ranking database (low search volume or not in top 100) and no live credits left to check. Related: generic 'sap ewm training' = 14 nationally.</t>
  </si>
  <si>
    <t xml:space="preserve">SAP EWS Training Kolkata</t>
  </si>
  <si>
    <t xml:space="preserve">Not in ranking database (low search volume or not in top 100) and no live credits left to check. Related: keyword may be a typo of 'SAP EHS' (generic 'sap ehs' = 19 nationally).</t>
  </si>
  <si>
    <t xml:space="preserve">SAP HCM Training Kolkata</t>
  </si>
  <si>
    <t xml:space="preserve">SAP Successfactors Training Kolkata</t>
  </si>
  <si>
    <t xml:space="preserve">Not in ranking database (low search volume or not in top 100) and no live credits left to check. Related: generic 'sap successfactors training' = 22 nationally.</t>
  </si>
  <si>
    <t xml:space="preserve">SAP UI5 Training Kolkata</t>
  </si>
  <si>
    <t xml:space="preserve">SAP Fiori Training Kolkata</t>
  </si>
  <si>
    <t xml:space="preserve">Mumbai – SAP Modules</t>
  </si>
  <si>
    <t xml:space="preserve">SAP FICO Training Mumbai</t>
  </si>
  <si>
    <t xml:space="preserve">Top 3: aspireit.net, henryharvin.com, nettechindia.com</t>
  </si>
  <si>
    <t xml:space="preserve">SAP MM Training Mumbai</t>
  </si>
  <si>
    <t xml:space="preserve">SAP SD Training Mumbai</t>
  </si>
  <si>
    <t xml:space="preserve">SAP ABAP Training Mumbai</t>
  </si>
  <si>
    <t xml:space="preserve">SAP BASIS Training Mumbai</t>
  </si>
  <si>
    <t xml:space="preserve">SAP HANA Training Mumbai</t>
  </si>
  <si>
    <t xml:space="preserve">SAP PP Training Mumbai</t>
  </si>
  <si>
    <t xml:space="preserve">SAP QM Training Mumbai</t>
  </si>
  <si>
    <t xml:space="preserve">SAP BW Training Mumbai</t>
  </si>
  <si>
    <t xml:space="preserve">SAP BI Training Mumbai</t>
  </si>
  <si>
    <t xml:space="preserve">SAP EWM Training Mumbai</t>
  </si>
  <si>
    <t xml:space="preserve">SAP EWS Training Mumbai</t>
  </si>
  <si>
    <t xml:space="preserve">SAP HCM Training Mumbai</t>
  </si>
  <si>
    <t xml:space="preserve">SAP Successfactors Training Mumbai</t>
  </si>
  <si>
    <t xml:space="preserve">SAP UI5 Training Mumbai</t>
  </si>
  <si>
    <t xml:space="preserve">SAP Flori Training Mumbai</t>
  </si>
  <si>
    <t xml:space="preserve">Not in ranking database (low search volume or not in top 100) and no live credits left to check. Keyword looks like a typo of 'Fiori'.</t>
  </si>
  <si>
    <t xml:space="preserve">Pune – SAP Modules</t>
  </si>
  <si>
    <t xml:space="preserve">SAP FICO Training Pune</t>
  </si>
  <si>
    <t xml:space="preserve">Not in top 13</t>
  </si>
  <si>
    <t xml:space="preserve">National database (Sep) showed 35 for 'sap fico course pune'</t>
  </si>
  <si>
    <t xml:space="preserve">SAP MM Training Pune</t>
  </si>
  <si>
    <t xml:space="preserve">Top 2: training.sap.com, walkme.com</t>
  </si>
  <si>
    <t xml:space="preserve">SAP SD Training Pune</t>
  </si>
  <si>
    <t xml:space="preserve">SAP ABAP Training Pune</t>
  </si>
  <si>
    <t xml:space="preserve">SAP BASIS Training Pune</t>
  </si>
  <si>
    <t xml:space="preserve">SAP HANA Training Pune</t>
  </si>
  <si>
    <t xml:space="preserve">SAP PP Training Pune</t>
  </si>
  <si>
    <t xml:space="preserve">SAP QM Training Pune</t>
  </si>
  <si>
    <t xml:space="preserve">SAP BW Training Pune</t>
  </si>
  <si>
    <t xml:space="preserve">SAP BI Training Pune</t>
  </si>
  <si>
    <t xml:space="preserve">SAP EWM Training Pune</t>
  </si>
  <si>
    <t xml:space="preserve">SAP EWS Training Pune</t>
  </si>
  <si>
    <t xml:space="preserve">SAP HCM Training Pune</t>
  </si>
  <si>
    <t xml:space="preserve">SAP Successfactors Training Pune</t>
  </si>
  <si>
    <t xml:space="preserve">SAP UI5 Training Pune</t>
  </si>
  <si>
    <t xml:space="preserve">SAP Fiori Training Pune</t>
  </si>
  <si>
    <t xml:space="preserve">Summary by keyword group</t>
  </si>
  <si>
    <t xml:space="preserve">Total keywords</t>
  </si>
  <si>
    <t xml:space="preserve">TOTAL</t>
  </si>
  <si>
    <t xml:space="preserve">Key highlights</t>
  </si>
  <si>
    <t xml:space="preserve">• Best positions: 'SAP course in Mumbai fees' #2 (Mumbai), 'SAP MM Training Pune' #3 (Pune), 'SAP Training Institute in Mumbai' #8, 'SAP Training in Mumbai' #9, 'SAP Training Institute in Kolkata' #9.</t>
  </si>
  <si>
    <t xml:space="preserve">• Google Maps: CloudLearn ERP is #1 in the local pack for 'SAP FICO Training Kolkata' and #2 for 'Best ERP training institute in Kolkata'.</t>
  </si>
  <si>
    <t xml:space="preserve">• Gaps: not in top ~15 in Kolkata for 'SAP Training Kolkata', 'SAP Training in Kolkata', 'Best SAP Training Institute in Kolkata'; and in Pune for 'SAP Training in Pune', 'SAP Training Institute in Pune', 'Best SAP Training Institute in Pune', 'SAP course in Pune fees', 'SAP FICO Training Pune'.</t>
  </si>
  <si>
    <t xml:space="preserve">• Most module + city keywords (e.g. 'SAP SD Training Kolkata') are too low-volume to appear in the ranking database and could not be live-checked (credits exhausted) – see Methodology.</t>
  </si>
  <si>
    <t xml:space="preserve">How this report was produced</t>
  </si>
  <si>
    <t xml:space="preserve">1. Live Google SERP (17 keywords): fetched 12-Oct-2026 from google.com for India (gl=IN, hl=en), desktop, localised to the keyword's city (Kolkata / Mumbai / Pune) via OpenSEO (DataForSEO). Top 20 SERP rows were captured, which equals roughly the top 13–16 organic results. 'Not in top N' means the site was not found within the organic results captured.</t>
  </si>
  <si>
    <t xml:space="preserve">2. Google India ranking database (national): 7 keywords were taken from OpenSEO's ranked-keywords index for cloudlearnerp.com (Google India, national, refreshed 12–17 Sep 2026). These positions are national, not city-localised, and can differ from what a searcher in that city sees.</t>
  </si>
  <si>
    <t xml:space="preserve">3. Not verified: the remaining keywords are not in the ranking database (usually because their monthly search volume is too low to be tracked, or the site is outside the top 100). The OpenSEO credit balance ran out after 17 live checks, and Semrush returned 'not enough API units', so these were not checked. Adding credits would allow a live check of all 91 keywords (~5 credits per keyword at top-20 depth, ~25 at top-100 depth).</t>
  </si>
  <si>
    <t xml:space="preserve">• 'Organic position' excludes ads, the Google Maps local pack, People-Also-Ask, AI Overview and video boxes. The 'Local Pack' column shows the position inside the Google Maps 3-pack, where it was checked.</t>
  </si>
  <si>
    <t xml:space="preserve">• Rankings change daily and vary by exact location, device and personalisation.</t>
  </si>
  <si>
    <t xml:space="preserve">• Keywords 'SAP EWS Training …' may be a typo of 'SAP EHS', and 'SAP Flori Training Mumbai' a typo of 'Fiori'. They were kept as supplied.</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</si>
</sst>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4E78"/>
      <name val="Cambria"/>
      <family val="0"/>
      <charset val="1"/>
    </font>
    <font>
      <i val="true"/>
      <sz val="9"/>
      <name val="Cambria"/>
      <family val="0"/>
      <charset val="1"/>
    </font>
    <font>
      <b val="true"/>
      <sz val="11"/>
      <color rgb="FFFFFFFF"/>
      <name val="Cambria"/>
      <family val="0"/>
      <charset val="1"/>
    </font>
    <font>
      <u val="single"/>
      <sz val="11"/>
      <color rgb="FF0563C1"/>
      <name val="Cambria"/>
      <family val="0"/>
      <charset val="1"/>
    </font>
    <font>
      <b val="true"/>
      <sz val="11"/>
      <name val="Cambria"/>
      <family val="0"/>
      <charset val="1"/>
    </font>
    <font>
      <sz val="11"/>
      <name val="Cambria"/>
      <family val="0"/>
      <charset val="1"/>
    </font>
    <font>
      <b val="true"/>
      <sz val="12"/>
      <color rgb="FF1F4E78"/>
      <name val="Cambria"/>
      <family val="0"/>
      <charset val="1"/>
    </font>
  </fonts>
  <fills count="9">
    <fill>
      <patternFill patternType="none"/>
    </fill>
    <fill>
      <patternFill patternType="gray125"/>
    </fill>
    <fill>
      <patternFill patternType="solid">
        <fgColor rgb="FF1F4E78"/>
        <bgColor rgb="FF003366"/>
      </patternFill>
    </fill>
    <fill>
      <patternFill patternType="solid">
        <fgColor rgb="FF63BE7B"/>
        <bgColor rgb="FF339966"/>
      </patternFill>
    </fill>
    <fill>
      <patternFill patternType="solid">
        <fgColor rgb="FFC6EFCE"/>
        <bgColor rgb="FFCCFFFF"/>
      </patternFill>
    </fill>
    <fill>
      <patternFill patternType="solid">
        <fgColor rgb="FFFFEB9C"/>
        <bgColor rgb="FFF8CBAD"/>
      </patternFill>
    </fill>
    <fill>
      <patternFill patternType="solid">
        <fgColor rgb="FFF8CBAD"/>
        <bgColor rgb="FFFFC7CE"/>
      </patternFill>
    </fill>
    <fill>
      <patternFill patternType="solid">
        <fgColor rgb="FFFFC7CE"/>
        <bgColor rgb="FFF8CBAD"/>
      </patternFill>
    </fill>
    <fill>
      <patternFill patternType="solid">
        <fgColor rgb="FFEDEDED"/>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8" fillId="3" borderId="1" xfId="0" applyFont="true" applyBorder="true" applyAlignment="true" applyProtection="false">
      <alignment horizontal="center" vertical="bottom" textRotation="0" wrapText="true" indent="0" shrinkToFit="false"/>
      <protection locked="true" hidden="false"/>
    </xf>
    <xf numFmtId="164" fontId="8" fillId="4" borderId="1" xfId="0" applyFont="true" applyBorder="true" applyAlignment="true" applyProtection="false">
      <alignment horizontal="center" vertical="bottom" textRotation="0" wrapText="true" indent="0" shrinkToFit="false"/>
      <protection locked="true" hidden="false"/>
    </xf>
    <xf numFmtId="164" fontId="8" fillId="5" borderId="1" xfId="0" applyFont="true" applyBorder="true" applyAlignment="true" applyProtection="false">
      <alignment horizontal="center" vertical="bottom" textRotation="0" wrapText="true" indent="0" shrinkToFit="false"/>
      <protection locked="true" hidden="false"/>
    </xf>
    <xf numFmtId="164" fontId="8" fillId="6" borderId="1" xfId="0" applyFont="true" applyBorder="true" applyAlignment="true" applyProtection="false">
      <alignment horizontal="center" vertical="bottom" textRotation="0" wrapText="true" indent="0" shrinkToFit="false"/>
      <protection locked="true" hidden="false"/>
    </xf>
    <xf numFmtId="164" fontId="8" fillId="7" borderId="1" xfId="0" applyFont="true" applyBorder="true" applyAlignment="true" applyProtection="false">
      <alignment horizontal="center" vertical="bottom" textRotation="0" wrapText="true" indent="0" shrinkToFit="false"/>
      <protection locked="true" hidden="false"/>
    </xf>
    <xf numFmtId="164" fontId="8" fillId="8"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63BE7B"/>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C7CE"/>
          <bgColor rgb="FF000000"/>
        </patternFill>
      </fill>
    </dxf>
    <dxf>
      <fill>
        <patternFill patternType="solid">
          <fgColor rgb="FFFFEB9C"/>
          <bgColor rgb="FF000000"/>
        </patternFill>
      </fill>
    </dxf>
    <dxf>
      <fill>
        <patternFill>
          <bgColor rgb="FF63BE7B"/>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563C1"/>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63BE7B"/>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loudlearnerp.com/blog/2026/07/26/best-erp-training-institute-in-kolkata-sap-vs-other-erps-a-career-comparison/" TargetMode="External"/><Relationship Id="rId2" Type="http://schemas.openxmlformats.org/officeDocument/2006/relationships/hyperlink" Target="https://www.cloudlearnerp.com/" TargetMode="External"/><Relationship Id="rId3" Type="http://schemas.openxmlformats.org/officeDocument/2006/relationships/hyperlink" Target="https://www.cloudlearnerp.com/" TargetMode="External"/><Relationship Id="rId4" Type="http://schemas.openxmlformats.org/officeDocument/2006/relationships/hyperlink" Target="https://www.cloudlearnerp.com/course/sap-training-in-kolkata" TargetMode="External"/><Relationship Id="rId5" Type="http://schemas.openxmlformats.org/officeDocument/2006/relationships/hyperlink" Target="https://www.cloudlearnerp.com/" TargetMode="External"/><Relationship Id="rId6" Type="http://schemas.openxmlformats.org/officeDocument/2006/relationships/hyperlink" Target="https://www.cloudlearnerp.com/" TargetMode="External"/><Relationship Id="rId7" Type="http://schemas.openxmlformats.org/officeDocument/2006/relationships/hyperlink" Target="https://www.cloudlearnerp.com/" TargetMode="External"/><Relationship Id="rId8" Type="http://schemas.openxmlformats.org/officeDocument/2006/relationships/hyperlink" Target="https://www.cloudlearnerp.com/" TargetMode="External"/><Relationship Id="rId9" Type="http://schemas.openxmlformats.org/officeDocument/2006/relationships/hyperlink" Target="https://www.cloudlearnerp.com/" TargetMode="External"/><Relationship Id="rId10" Type="http://schemas.openxmlformats.org/officeDocument/2006/relationships/hyperlink" Target="https://www.cloudlearnerp.com/" TargetMode="External"/><Relationship Id="rId11" Type="http://schemas.openxmlformats.org/officeDocument/2006/relationships/hyperlink" Target="https://www.cloudlearnerp.com/course/sap-training-in-pune" TargetMode="External"/><Relationship Id="rId12" Type="http://schemas.openxmlformats.org/officeDocument/2006/relationships/hyperlink" Target="https://www.cloudlearnerp.com/course/sap-training-in-pune" TargetMode="External"/><Relationship Id="rId13" Type="http://schemas.openxmlformats.org/officeDocument/2006/relationships/hyperlink" Target="https://www.cloudlearnerp.com/" TargetMode="External"/><Relationship Id="rId14" Type="http://schemas.openxmlformats.org/officeDocument/2006/relationships/hyperlink" Target="https://www.cloudlearnerp.com/" TargetMode="External"/><Relationship Id="rId15" Type="http://schemas.openxmlformats.org/officeDocument/2006/relationships/hyperlink" Target="https://www.cloudlearnerp.com/course/sap-training-in-pune" TargetMode="External"/><Relationship Id="rId1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40"/>
    <col collapsed="false" customWidth="true" hidden="false" outlineLevel="0" max="4" min="4" style="0" width="10"/>
    <col collapsed="false" customWidth="true" hidden="false" outlineLevel="0" max="6" min="5" style="0" width="16"/>
    <col collapsed="false" customWidth="true" hidden="false" outlineLevel="0" max="7" min="7" style="0" width="48"/>
    <col collapsed="false" customWidth="true" hidden="false" outlineLevel="0" max="8" min="8" style="0" width="20"/>
    <col collapsed="false" customWidth="true" hidden="false" outlineLevel="0" max="9" min="9" style="0" width="30"/>
    <col collapsed="false" customWidth="true" hidden="false" outlineLevel="0" max="10" min="10" style="0" width="15"/>
    <col collapsed="false" customWidth="true" hidden="false" outlineLevel="0" max="11" min="11"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41.75"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28.35" hidden="false" customHeight="false" outlineLevel="0" collapsed="false">
      <c r="A5" s="4" t="n">
        <v>1</v>
      </c>
      <c r="B5" s="5" t="s">
        <v>13</v>
      </c>
      <c r="C5" s="5" t="s">
        <v>14</v>
      </c>
      <c r="D5" s="4" t="s">
        <v>15</v>
      </c>
      <c r="E5" s="4" t="s">
        <v>16</v>
      </c>
      <c r="F5" s="4" t="s">
        <v>16</v>
      </c>
      <c r="G5" s="5"/>
      <c r="H5" s="6" t="s">
        <v>16</v>
      </c>
      <c r="I5" s="5" t="s">
        <v>17</v>
      </c>
      <c r="J5" s="4" t="s">
        <v>18</v>
      </c>
      <c r="K5" s="5" t="s">
        <v>19</v>
      </c>
    </row>
    <row r="6" customFormat="false" ht="28.35" hidden="false" customHeight="false" outlineLevel="0" collapsed="false">
      <c r="A6" s="4" t="n">
        <v>2</v>
      </c>
      <c r="B6" s="5" t="s">
        <v>13</v>
      </c>
      <c r="C6" s="5" t="s">
        <v>20</v>
      </c>
      <c r="D6" s="4" t="s">
        <v>15</v>
      </c>
      <c r="E6" s="4" t="s">
        <v>21</v>
      </c>
      <c r="F6" s="4" t="s">
        <v>18</v>
      </c>
      <c r="G6" s="5"/>
      <c r="H6" s="6" t="s">
        <v>22</v>
      </c>
      <c r="I6" s="5" t="s">
        <v>23</v>
      </c>
      <c r="J6" s="4" t="s">
        <v>24</v>
      </c>
      <c r="K6" s="5" t="s">
        <v>25</v>
      </c>
    </row>
    <row r="7" customFormat="false" ht="28.35" hidden="false" customHeight="false" outlineLevel="0" collapsed="false">
      <c r="A7" s="4" t="n">
        <v>3</v>
      </c>
      <c r="B7" s="5" t="s">
        <v>13</v>
      </c>
      <c r="C7" s="5" t="s">
        <v>26</v>
      </c>
      <c r="D7" s="4" t="s">
        <v>15</v>
      </c>
      <c r="E7" s="4" t="s">
        <v>27</v>
      </c>
      <c r="F7" s="4" t="s">
        <v>18</v>
      </c>
      <c r="G7" s="5"/>
      <c r="H7" s="6" t="s">
        <v>22</v>
      </c>
      <c r="I7" s="5" t="s">
        <v>23</v>
      </c>
      <c r="J7" s="4" t="s">
        <v>24</v>
      </c>
      <c r="K7" s="5" t="s">
        <v>28</v>
      </c>
    </row>
    <row r="8" customFormat="false" ht="28.35" hidden="false" customHeight="false" outlineLevel="0" collapsed="false">
      <c r="A8" s="4" t="n">
        <v>4</v>
      </c>
      <c r="B8" s="5" t="s">
        <v>13</v>
      </c>
      <c r="C8" s="5" t="s">
        <v>29</v>
      </c>
      <c r="D8" s="4" t="s">
        <v>15</v>
      </c>
      <c r="E8" s="4" t="n">
        <v>6</v>
      </c>
      <c r="F8" s="4" t="n">
        <v>2</v>
      </c>
      <c r="G8" s="7" t="s">
        <v>30</v>
      </c>
      <c r="H8" s="6" t="s">
        <v>31</v>
      </c>
      <c r="I8" s="5" t="s">
        <v>23</v>
      </c>
      <c r="J8" s="4" t="s">
        <v>24</v>
      </c>
      <c r="K8" s="5" t="s">
        <v>32</v>
      </c>
    </row>
    <row r="9" customFormat="false" ht="28.35" hidden="false" customHeight="false" outlineLevel="0" collapsed="false">
      <c r="A9" s="4" t="n">
        <v>5</v>
      </c>
      <c r="B9" s="5" t="s">
        <v>13</v>
      </c>
      <c r="C9" s="5" t="s">
        <v>33</v>
      </c>
      <c r="D9" s="4" t="s">
        <v>15</v>
      </c>
      <c r="E9" s="4" t="n">
        <v>9</v>
      </c>
      <c r="F9" s="4" t="s">
        <v>34</v>
      </c>
      <c r="G9" s="7" t="s">
        <v>35</v>
      </c>
      <c r="H9" s="6" t="s">
        <v>31</v>
      </c>
      <c r="I9" s="5" t="s">
        <v>36</v>
      </c>
      <c r="J9" s="4" t="s">
        <v>37</v>
      </c>
      <c r="K9" s="5"/>
    </row>
    <row r="10" customFormat="false" ht="28.35" hidden="false" customHeight="false" outlineLevel="0" collapsed="false">
      <c r="A10" s="4" t="n">
        <v>6</v>
      </c>
      <c r="B10" s="5" t="s">
        <v>13</v>
      </c>
      <c r="C10" s="5" t="s">
        <v>38</v>
      </c>
      <c r="D10" s="4" t="s">
        <v>15</v>
      </c>
      <c r="E10" s="4" t="s">
        <v>27</v>
      </c>
      <c r="F10" s="4" t="s">
        <v>18</v>
      </c>
      <c r="G10" s="5"/>
      <c r="H10" s="6" t="s">
        <v>22</v>
      </c>
      <c r="I10" s="5" t="s">
        <v>23</v>
      </c>
      <c r="J10" s="4" t="s">
        <v>24</v>
      </c>
      <c r="K10" s="5" t="s">
        <v>39</v>
      </c>
    </row>
    <row r="11" customFormat="false" ht="28.35" hidden="false" customHeight="false" outlineLevel="0" collapsed="false">
      <c r="A11" s="4" t="n">
        <v>7</v>
      </c>
      <c r="B11" s="5" t="s">
        <v>13</v>
      </c>
      <c r="C11" s="5" t="s">
        <v>40</v>
      </c>
      <c r="D11" s="4" t="s">
        <v>15</v>
      </c>
      <c r="E11" s="4" t="s">
        <v>16</v>
      </c>
      <c r="F11" s="4" t="s">
        <v>16</v>
      </c>
      <c r="G11" s="5"/>
      <c r="H11" s="6" t="s">
        <v>16</v>
      </c>
      <c r="I11" s="5" t="s">
        <v>17</v>
      </c>
      <c r="J11" s="4" t="s">
        <v>18</v>
      </c>
      <c r="K11" s="5" t="s">
        <v>19</v>
      </c>
    </row>
    <row r="12" customFormat="false" ht="28.35" hidden="false" customHeight="false" outlineLevel="0" collapsed="false">
      <c r="A12" s="4" t="n">
        <v>8</v>
      </c>
      <c r="B12" s="5" t="s">
        <v>13</v>
      </c>
      <c r="C12" s="5" t="s">
        <v>41</v>
      </c>
      <c r="D12" s="4" t="s">
        <v>15</v>
      </c>
      <c r="E12" s="4" t="n">
        <v>13</v>
      </c>
      <c r="F12" s="4" t="s">
        <v>34</v>
      </c>
      <c r="G12" s="7" t="s">
        <v>35</v>
      </c>
      <c r="H12" s="6" t="s">
        <v>42</v>
      </c>
      <c r="I12" s="5" t="s">
        <v>36</v>
      </c>
      <c r="J12" s="4" t="s">
        <v>37</v>
      </c>
      <c r="K12" s="5" t="s">
        <v>43</v>
      </c>
    </row>
    <row r="13" customFormat="false" ht="28.35" hidden="false" customHeight="false" outlineLevel="0" collapsed="false">
      <c r="A13" s="4" t="n">
        <v>9</v>
      </c>
      <c r="B13" s="5" t="s">
        <v>13</v>
      </c>
      <c r="C13" s="5" t="s">
        <v>44</v>
      </c>
      <c r="D13" s="4" t="s">
        <v>15</v>
      </c>
      <c r="E13" s="4" t="s">
        <v>16</v>
      </c>
      <c r="F13" s="4" t="s">
        <v>16</v>
      </c>
      <c r="G13" s="5"/>
      <c r="H13" s="6" t="s">
        <v>16</v>
      </c>
      <c r="I13" s="5" t="s">
        <v>17</v>
      </c>
      <c r="J13" s="4" t="s">
        <v>18</v>
      </c>
      <c r="K13" s="5" t="s">
        <v>19</v>
      </c>
    </row>
    <row r="14" customFormat="false" ht="28.35" hidden="false" customHeight="false" outlineLevel="0" collapsed="false">
      <c r="A14" s="4" t="n">
        <v>10</v>
      </c>
      <c r="B14" s="5" t="s">
        <v>13</v>
      </c>
      <c r="C14" s="5" t="s">
        <v>45</v>
      </c>
      <c r="D14" s="4" t="s">
        <v>15</v>
      </c>
      <c r="E14" s="4" t="n">
        <v>10</v>
      </c>
      <c r="F14" s="4" t="s">
        <v>18</v>
      </c>
      <c r="G14" s="7" t="s">
        <v>46</v>
      </c>
      <c r="H14" s="6" t="s">
        <v>31</v>
      </c>
      <c r="I14" s="5" t="s">
        <v>23</v>
      </c>
      <c r="J14" s="4" t="s">
        <v>24</v>
      </c>
      <c r="K14" s="5" t="s">
        <v>47</v>
      </c>
    </row>
    <row r="15" customFormat="false" ht="28.35" hidden="false" customHeight="false" outlineLevel="0" collapsed="false">
      <c r="A15" s="4" t="n">
        <v>11</v>
      </c>
      <c r="B15" s="5" t="s">
        <v>13</v>
      </c>
      <c r="C15" s="5" t="s">
        <v>48</v>
      </c>
      <c r="D15" s="4" t="s">
        <v>15</v>
      </c>
      <c r="E15" s="4" t="n">
        <v>11</v>
      </c>
      <c r="F15" s="4" t="s">
        <v>34</v>
      </c>
      <c r="G15" s="7" t="s">
        <v>35</v>
      </c>
      <c r="H15" s="6" t="s">
        <v>42</v>
      </c>
      <c r="I15" s="5" t="s">
        <v>36</v>
      </c>
      <c r="J15" s="4" t="s">
        <v>37</v>
      </c>
      <c r="K15" s="5"/>
    </row>
    <row r="16" customFormat="false" ht="28.35" hidden="false" customHeight="false" outlineLevel="0" collapsed="false">
      <c r="A16" s="4" t="n">
        <v>12</v>
      </c>
      <c r="B16" s="5" t="s">
        <v>49</v>
      </c>
      <c r="C16" s="5" t="s">
        <v>50</v>
      </c>
      <c r="D16" s="4" t="s">
        <v>51</v>
      </c>
      <c r="E16" s="4" t="s">
        <v>16</v>
      </c>
      <c r="F16" s="4" t="s">
        <v>16</v>
      </c>
      <c r="G16" s="5"/>
      <c r="H16" s="6" t="s">
        <v>16</v>
      </c>
      <c r="I16" s="5" t="s">
        <v>17</v>
      </c>
      <c r="J16" s="4" t="s">
        <v>18</v>
      </c>
      <c r="K16" s="5" t="s">
        <v>19</v>
      </c>
    </row>
    <row r="17" customFormat="false" ht="28.35" hidden="false" customHeight="false" outlineLevel="0" collapsed="false">
      <c r="A17" s="4" t="n">
        <v>13</v>
      </c>
      <c r="B17" s="5" t="s">
        <v>49</v>
      </c>
      <c r="C17" s="5" t="s">
        <v>52</v>
      </c>
      <c r="D17" s="4" t="s">
        <v>51</v>
      </c>
      <c r="E17" s="4" t="s">
        <v>16</v>
      </c>
      <c r="F17" s="4" t="s">
        <v>16</v>
      </c>
      <c r="G17" s="5"/>
      <c r="H17" s="6" t="s">
        <v>16</v>
      </c>
      <c r="I17" s="5" t="s">
        <v>17</v>
      </c>
      <c r="J17" s="4" t="s">
        <v>18</v>
      </c>
      <c r="K17" s="5" t="s">
        <v>19</v>
      </c>
    </row>
    <row r="18" customFormat="false" ht="28.35" hidden="false" customHeight="false" outlineLevel="0" collapsed="false">
      <c r="A18" s="4" t="n">
        <v>14</v>
      </c>
      <c r="B18" s="5" t="s">
        <v>49</v>
      </c>
      <c r="C18" s="5" t="s">
        <v>53</v>
      </c>
      <c r="D18" s="4" t="s">
        <v>51</v>
      </c>
      <c r="E18" s="4" t="n">
        <v>9</v>
      </c>
      <c r="F18" s="4" t="s">
        <v>18</v>
      </c>
      <c r="G18" s="7" t="s">
        <v>35</v>
      </c>
      <c r="H18" s="6" t="s">
        <v>31</v>
      </c>
      <c r="I18" s="5" t="s">
        <v>23</v>
      </c>
      <c r="J18" s="4" t="s">
        <v>24</v>
      </c>
      <c r="K18" s="5" t="s">
        <v>54</v>
      </c>
    </row>
    <row r="19" customFormat="false" ht="28.35" hidden="false" customHeight="false" outlineLevel="0" collapsed="false">
      <c r="A19" s="4" t="n">
        <v>15</v>
      </c>
      <c r="B19" s="5" t="s">
        <v>49</v>
      </c>
      <c r="C19" s="5" t="s">
        <v>55</v>
      </c>
      <c r="D19" s="4" t="s">
        <v>51</v>
      </c>
      <c r="E19" s="4" t="s">
        <v>16</v>
      </c>
      <c r="F19" s="4" t="s">
        <v>16</v>
      </c>
      <c r="G19" s="5"/>
      <c r="H19" s="6" t="s">
        <v>16</v>
      </c>
      <c r="I19" s="5" t="s">
        <v>17</v>
      </c>
      <c r="J19" s="4" t="s">
        <v>18</v>
      </c>
      <c r="K19" s="5" t="s">
        <v>19</v>
      </c>
    </row>
    <row r="20" customFormat="false" ht="28.35" hidden="false" customHeight="false" outlineLevel="0" collapsed="false">
      <c r="A20" s="4" t="n">
        <v>16</v>
      </c>
      <c r="B20" s="5" t="s">
        <v>49</v>
      </c>
      <c r="C20" s="5" t="s">
        <v>56</v>
      </c>
      <c r="D20" s="4" t="s">
        <v>51</v>
      </c>
      <c r="E20" s="4" t="n">
        <v>8</v>
      </c>
      <c r="F20" s="4" t="s">
        <v>18</v>
      </c>
      <c r="G20" s="7" t="s">
        <v>35</v>
      </c>
      <c r="H20" s="6" t="s">
        <v>31</v>
      </c>
      <c r="I20" s="5" t="s">
        <v>23</v>
      </c>
      <c r="J20" s="4" t="s">
        <v>24</v>
      </c>
      <c r="K20" s="5" t="s">
        <v>57</v>
      </c>
    </row>
    <row r="21" customFormat="false" ht="28.35" hidden="false" customHeight="false" outlineLevel="0" collapsed="false">
      <c r="A21" s="4" t="n">
        <v>17</v>
      </c>
      <c r="B21" s="5" t="s">
        <v>49</v>
      </c>
      <c r="C21" s="5" t="s">
        <v>58</v>
      </c>
      <c r="D21" s="4" t="s">
        <v>51</v>
      </c>
      <c r="E21" s="4" t="s">
        <v>59</v>
      </c>
      <c r="F21" s="4" t="s">
        <v>18</v>
      </c>
      <c r="G21" s="5"/>
      <c r="H21" s="6" t="s">
        <v>22</v>
      </c>
      <c r="I21" s="5" t="s">
        <v>23</v>
      </c>
      <c r="J21" s="4" t="s">
        <v>24</v>
      </c>
      <c r="K21" s="5" t="s">
        <v>60</v>
      </c>
    </row>
    <row r="22" customFormat="false" ht="28.35" hidden="false" customHeight="false" outlineLevel="0" collapsed="false">
      <c r="A22" s="4" t="n">
        <v>18</v>
      </c>
      <c r="B22" s="5" t="s">
        <v>49</v>
      </c>
      <c r="C22" s="5" t="s">
        <v>61</v>
      </c>
      <c r="D22" s="4" t="s">
        <v>51</v>
      </c>
      <c r="E22" s="4" t="s">
        <v>16</v>
      </c>
      <c r="F22" s="4" t="s">
        <v>16</v>
      </c>
      <c r="G22" s="5"/>
      <c r="H22" s="6" t="s">
        <v>16</v>
      </c>
      <c r="I22" s="5" t="s">
        <v>17</v>
      </c>
      <c r="J22" s="4" t="s">
        <v>18</v>
      </c>
      <c r="K22" s="5" t="s">
        <v>19</v>
      </c>
    </row>
    <row r="23" customFormat="false" ht="28.35" hidden="false" customHeight="false" outlineLevel="0" collapsed="false">
      <c r="A23" s="4" t="n">
        <v>19</v>
      </c>
      <c r="B23" s="5" t="s">
        <v>49</v>
      </c>
      <c r="C23" s="5" t="s">
        <v>62</v>
      </c>
      <c r="D23" s="4" t="s">
        <v>51</v>
      </c>
      <c r="E23" s="4" t="n">
        <v>20</v>
      </c>
      <c r="F23" s="4" t="s">
        <v>34</v>
      </c>
      <c r="G23" s="7" t="s">
        <v>35</v>
      </c>
      <c r="H23" s="6" t="s">
        <v>42</v>
      </c>
      <c r="I23" s="5" t="s">
        <v>36</v>
      </c>
      <c r="J23" s="4" t="s">
        <v>37</v>
      </c>
      <c r="K23" s="5" t="s">
        <v>63</v>
      </c>
    </row>
    <row r="24" customFormat="false" ht="28.35" hidden="false" customHeight="false" outlineLevel="0" collapsed="false">
      <c r="A24" s="4" t="n">
        <v>20</v>
      </c>
      <c r="B24" s="5" t="s">
        <v>49</v>
      </c>
      <c r="C24" s="5" t="s">
        <v>64</v>
      </c>
      <c r="D24" s="4" t="s">
        <v>51</v>
      </c>
      <c r="E24" s="4" t="s">
        <v>16</v>
      </c>
      <c r="F24" s="4" t="s">
        <v>16</v>
      </c>
      <c r="G24" s="5"/>
      <c r="H24" s="6" t="s">
        <v>16</v>
      </c>
      <c r="I24" s="5" t="s">
        <v>17</v>
      </c>
      <c r="J24" s="4" t="s">
        <v>18</v>
      </c>
      <c r="K24" s="5" t="s">
        <v>19</v>
      </c>
    </row>
    <row r="25" customFormat="false" ht="28.35" hidden="false" customHeight="false" outlineLevel="0" collapsed="false">
      <c r="A25" s="4" t="n">
        <v>21</v>
      </c>
      <c r="B25" s="5" t="s">
        <v>49</v>
      </c>
      <c r="C25" s="5" t="s">
        <v>65</v>
      </c>
      <c r="D25" s="4" t="s">
        <v>51</v>
      </c>
      <c r="E25" s="4" t="n">
        <v>2</v>
      </c>
      <c r="F25" s="4" t="s">
        <v>18</v>
      </c>
      <c r="G25" s="7" t="s">
        <v>35</v>
      </c>
      <c r="H25" s="6" t="s">
        <v>66</v>
      </c>
      <c r="I25" s="5" t="s">
        <v>23</v>
      </c>
      <c r="J25" s="4" t="s">
        <v>24</v>
      </c>
      <c r="K25" s="5" t="s">
        <v>67</v>
      </c>
    </row>
    <row r="26" customFormat="false" ht="28.35" hidden="false" customHeight="false" outlineLevel="0" collapsed="false">
      <c r="A26" s="4" t="n">
        <v>22</v>
      </c>
      <c r="B26" s="5" t="s">
        <v>49</v>
      </c>
      <c r="C26" s="5" t="s">
        <v>68</v>
      </c>
      <c r="D26" s="4" t="s">
        <v>51</v>
      </c>
      <c r="E26" s="4" t="n">
        <v>18</v>
      </c>
      <c r="F26" s="4" t="s">
        <v>34</v>
      </c>
      <c r="G26" s="7" t="s">
        <v>35</v>
      </c>
      <c r="H26" s="6" t="s">
        <v>42</v>
      </c>
      <c r="I26" s="5" t="s">
        <v>36</v>
      </c>
      <c r="J26" s="4" t="s">
        <v>37</v>
      </c>
      <c r="K26" s="5"/>
    </row>
    <row r="27" customFormat="false" ht="28.35" hidden="false" customHeight="false" outlineLevel="0" collapsed="false">
      <c r="A27" s="4" t="n">
        <v>23</v>
      </c>
      <c r="B27" s="5" t="s">
        <v>69</v>
      </c>
      <c r="C27" s="5" t="s">
        <v>70</v>
      </c>
      <c r="D27" s="4" t="s">
        <v>71</v>
      </c>
      <c r="E27" s="4" t="s">
        <v>16</v>
      </c>
      <c r="F27" s="4" t="s">
        <v>16</v>
      </c>
      <c r="G27" s="5"/>
      <c r="H27" s="6" t="s">
        <v>16</v>
      </c>
      <c r="I27" s="5" t="s">
        <v>17</v>
      </c>
      <c r="J27" s="4" t="s">
        <v>18</v>
      </c>
      <c r="K27" s="5" t="s">
        <v>19</v>
      </c>
    </row>
    <row r="28" customFormat="false" ht="28.35" hidden="false" customHeight="false" outlineLevel="0" collapsed="false">
      <c r="A28" s="4" t="n">
        <v>24</v>
      </c>
      <c r="B28" s="5" t="s">
        <v>69</v>
      </c>
      <c r="C28" s="5" t="s">
        <v>72</v>
      </c>
      <c r="D28" s="4" t="s">
        <v>71</v>
      </c>
      <c r="E28" s="4" t="s">
        <v>16</v>
      </c>
      <c r="F28" s="4" t="s">
        <v>16</v>
      </c>
      <c r="G28" s="5"/>
      <c r="H28" s="6" t="s">
        <v>16</v>
      </c>
      <c r="I28" s="5" t="s">
        <v>17</v>
      </c>
      <c r="J28" s="4" t="s">
        <v>18</v>
      </c>
      <c r="K28" s="5" t="s">
        <v>19</v>
      </c>
    </row>
    <row r="29" customFormat="false" ht="28.35" hidden="false" customHeight="false" outlineLevel="0" collapsed="false">
      <c r="A29" s="4" t="n">
        <v>25</v>
      </c>
      <c r="B29" s="5" t="s">
        <v>69</v>
      </c>
      <c r="C29" s="5" t="s">
        <v>73</v>
      </c>
      <c r="D29" s="4" t="s">
        <v>71</v>
      </c>
      <c r="E29" s="4" t="s">
        <v>59</v>
      </c>
      <c r="F29" s="4" t="s">
        <v>18</v>
      </c>
      <c r="G29" s="5"/>
      <c r="H29" s="6" t="s">
        <v>22</v>
      </c>
      <c r="I29" s="5" t="s">
        <v>23</v>
      </c>
      <c r="J29" s="4" t="s">
        <v>24</v>
      </c>
      <c r="K29" s="5" t="s">
        <v>74</v>
      </c>
    </row>
    <row r="30" customFormat="false" ht="28.35" hidden="false" customHeight="false" outlineLevel="0" collapsed="false">
      <c r="A30" s="4" t="n">
        <v>26</v>
      </c>
      <c r="B30" s="5" t="s">
        <v>69</v>
      </c>
      <c r="C30" s="5" t="s">
        <v>75</v>
      </c>
      <c r="D30" s="4" t="s">
        <v>71</v>
      </c>
      <c r="E30" s="4" t="s">
        <v>16</v>
      </c>
      <c r="F30" s="4" t="s">
        <v>16</v>
      </c>
      <c r="G30" s="5"/>
      <c r="H30" s="6" t="s">
        <v>16</v>
      </c>
      <c r="I30" s="5" t="s">
        <v>17</v>
      </c>
      <c r="J30" s="4" t="s">
        <v>18</v>
      </c>
      <c r="K30" s="5" t="s">
        <v>19</v>
      </c>
    </row>
    <row r="31" customFormat="false" ht="28.35" hidden="false" customHeight="false" outlineLevel="0" collapsed="false">
      <c r="A31" s="4" t="n">
        <v>27</v>
      </c>
      <c r="B31" s="5" t="s">
        <v>69</v>
      </c>
      <c r="C31" s="5" t="s">
        <v>76</v>
      </c>
      <c r="D31" s="4" t="s">
        <v>71</v>
      </c>
      <c r="E31" s="4" t="s">
        <v>21</v>
      </c>
      <c r="F31" s="4" t="s">
        <v>18</v>
      </c>
      <c r="G31" s="5"/>
      <c r="H31" s="6" t="s">
        <v>22</v>
      </c>
      <c r="I31" s="5" t="s">
        <v>23</v>
      </c>
      <c r="J31" s="4" t="s">
        <v>24</v>
      </c>
      <c r="K31" s="5" t="s">
        <v>77</v>
      </c>
    </row>
    <row r="32" customFormat="false" ht="28.35" hidden="false" customHeight="false" outlineLevel="0" collapsed="false">
      <c r="A32" s="4" t="n">
        <v>28</v>
      </c>
      <c r="B32" s="5" t="s">
        <v>69</v>
      </c>
      <c r="C32" s="5" t="s">
        <v>78</v>
      </c>
      <c r="D32" s="4" t="s">
        <v>71</v>
      </c>
      <c r="E32" s="4" t="s">
        <v>27</v>
      </c>
      <c r="F32" s="4" t="s">
        <v>18</v>
      </c>
      <c r="G32" s="5"/>
      <c r="H32" s="6" t="s">
        <v>22</v>
      </c>
      <c r="I32" s="5" t="s">
        <v>23</v>
      </c>
      <c r="J32" s="4" t="s">
        <v>24</v>
      </c>
      <c r="K32" s="5" t="s">
        <v>79</v>
      </c>
    </row>
    <row r="33" customFormat="false" ht="28.35" hidden="false" customHeight="false" outlineLevel="0" collapsed="false">
      <c r="A33" s="4" t="n">
        <v>29</v>
      </c>
      <c r="B33" s="5" t="s">
        <v>69</v>
      </c>
      <c r="C33" s="5" t="s">
        <v>80</v>
      </c>
      <c r="D33" s="4" t="s">
        <v>71</v>
      </c>
      <c r="E33" s="4" t="s">
        <v>16</v>
      </c>
      <c r="F33" s="4" t="s">
        <v>16</v>
      </c>
      <c r="G33" s="5"/>
      <c r="H33" s="6" t="s">
        <v>16</v>
      </c>
      <c r="I33" s="5" t="s">
        <v>17</v>
      </c>
      <c r="J33" s="4" t="s">
        <v>18</v>
      </c>
      <c r="K33" s="5" t="s">
        <v>19</v>
      </c>
    </row>
    <row r="34" customFormat="false" ht="28.35" hidden="false" customHeight="false" outlineLevel="0" collapsed="false">
      <c r="A34" s="4" t="n">
        <v>30</v>
      </c>
      <c r="B34" s="5" t="s">
        <v>69</v>
      </c>
      <c r="C34" s="5" t="s">
        <v>81</v>
      </c>
      <c r="D34" s="4" t="s">
        <v>71</v>
      </c>
      <c r="E34" s="4" t="n">
        <v>26</v>
      </c>
      <c r="F34" s="4" t="s">
        <v>34</v>
      </c>
      <c r="G34" s="7" t="s">
        <v>82</v>
      </c>
      <c r="H34" s="6" t="s">
        <v>83</v>
      </c>
      <c r="I34" s="5" t="s">
        <v>36</v>
      </c>
      <c r="J34" s="4" t="s">
        <v>37</v>
      </c>
      <c r="K34" s="5"/>
    </row>
    <row r="35" customFormat="false" ht="28.35" hidden="false" customHeight="false" outlineLevel="0" collapsed="false">
      <c r="A35" s="4" t="n">
        <v>31</v>
      </c>
      <c r="B35" s="5" t="s">
        <v>69</v>
      </c>
      <c r="C35" s="5" t="s">
        <v>84</v>
      </c>
      <c r="D35" s="4" t="s">
        <v>71</v>
      </c>
      <c r="E35" s="4" t="s">
        <v>16</v>
      </c>
      <c r="F35" s="4" t="s">
        <v>16</v>
      </c>
      <c r="G35" s="5"/>
      <c r="H35" s="6" t="s">
        <v>16</v>
      </c>
      <c r="I35" s="5" t="s">
        <v>17</v>
      </c>
      <c r="J35" s="4" t="s">
        <v>18</v>
      </c>
      <c r="K35" s="5" t="s">
        <v>19</v>
      </c>
    </row>
    <row r="36" customFormat="false" ht="28.35" hidden="false" customHeight="false" outlineLevel="0" collapsed="false">
      <c r="A36" s="4" t="n">
        <v>32</v>
      </c>
      <c r="B36" s="5" t="s">
        <v>69</v>
      </c>
      <c r="C36" s="5" t="s">
        <v>85</v>
      </c>
      <c r="D36" s="4" t="s">
        <v>71</v>
      </c>
      <c r="E36" s="4" t="s">
        <v>21</v>
      </c>
      <c r="F36" s="4" t="s">
        <v>18</v>
      </c>
      <c r="G36" s="5"/>
      <c r="H36" s="6" t="s">
        <v>22</v>
      </c>
      <c r="I36" s="5" t="s">
        <v>23</v>
      </c>
      <c r="J36" s="4" t="s">
        <v>24</v>
      </c>
      <c r="K36" s="5" t="s">
        <v>86</v>
      </c>
    </row>
    <row r="37" customFormat="false" ht="28.35" hidden="false" customHeight="false" outlineLevel="0" collapsed="false">
      <c r="A37" s="4" t="n">
        <v>33</v>
      </c>
      <c r="B37" s="5" t="s">
        <v>69</v>
      </c>
      <c r="C37" s="5" t="s">
        <v>87</v>
      </c>
      <c r="D37" s="4" t="s">
        <v>71</v>
      </c>
      <c r="E37" s="4" t="n">
        <v>11</v>
      </c>
      <c r="F37" s="4" t="s">
        <v>34</v>
      </c>
      <c r="G37" s="7" t="s">
        <v>82</v>
      </c>
      <c r="H37" s="6" t="s">
        <v>42</v>
      </c>
      <c r="I37" s="5" t="s">
        <v>36</v>
      </c>
      <c r="J37" s="4" t="s">
        <v>37</v>
      </c>
      <c r="K37" s="5"/>
    </row>
    <row r="38" customFormat="false" ht="28.35" hidden="false" customHeight="false" outlineLevel="0" collapsed="false">
      <c r="A38" s="4" t="n">
        <v>34</v>
      </c>
      <c r="B38" s="5" t="s">
        <v>88</v>
      </c>
      <c r="C38" s="5" t="s">
        <v>89</v>
      </c>
      <c r="D38" s="4" t="s">
        <v>15</v>
      </c>
      <c r="E38" s="4" t="s">
        <v>21</v>
      </c>
      <c r="F38" s="4" t="n">
        <v>1</v>
      </c>
      <c r="G38" s="7" t="s">
        <v>35</v>
      </c>
      <c r="H38" s="6" t="s">
        <v>22</v>
      </c>
      <c r="I38" s="5" t="s">
        <v>23</v>
      </c>
      <c r="J38" s="4" t="s">
        <v>24</v>
      </c>
      <c r="K38" s="5" t="s">
        <v>90</v>
      </c>
    </row>
    <row r="39" customFormat="false" ht="28.35" hidden="false" customHeight="false" outlineLevel="0" collapsed="false">
      <c r="A39" s="4" t="n">
        <v>35</v>
      </c>
      <c r="B39" s="5" t="s">
        <v>88</v>
      </c>
      <c r="C39" s="5" t="s">
        <v>91</v>
      </c>
      <c r="D39" s="4" t="s">
        <v>15</v>
      </c>
      <c r="E39" s="4" t="s">
        <v>16</v>
      </c>
      <c r="F39" s="4" t="s">
        <v>16</v>
      </c>
      <c r="G39" s="5"/>
      <c r="H39" s="6" t="s">
        <v>16</v>
      </c>
      <c r="I39" s="5" t="s">
        <v>17</v>
      </c>
      <c r="J39" s="4" t="s">
        <v>18</v>
      </c>
      <c r="K39" s="5" t="s">
        <v>92</v>
      </c>
    </row>
    <row r="40" customFormat="false" ht="28.35" hidden="false" customHeight="false" outlineLevel="0" collapsed="false">
      <c r="A40" s="4" t="n">
        <v>36</v>
      </c>
      <c r="B40" s="5" t="s">
        <v>88</v>
      </c>
      <c r="C40" s="5" t="s">
        <v>93</v>
      </c>
      <c r="D40" s="4" t="s">
        <v>15</v>
      </c>
      <c r="E40" s="4" t="s">
        <v>16</v>
      </c>
      <c r="F40" s="4" t="s">
        <v>16</v>
      </c>
      <c r="G40" s="5"/>
      <c r="H40" s="6" t="s">
        <v>16</v>
      </c>
      <c r="I40" s="5" t="s">
        <v>17</v>
      </c>
      <c r="J40" s="4" t="s">
        <v>18</v>
      </c>
      <c r="K40" s="5" t="s">
        <v>19</v>
      </c>
    </row>
    <row r="41" customFormat="false" ht="28.35" hidden="false" customHeight="false" outlineLevel="0" collapsed="false">
      <c r="A41" s="4" t="n">
        <v>37</v>
      </c>
      <c r="B41" s="5" t="s">
        <v>88</v>
      </c>
      <c r="C41" s="5" t="s">
        <v>94</v>
      </c>
      <c r="D41" s="4" t="s">
        <v>15</v>
      </c>
      <c r="E41" s="4" t="s">
        <v>16</v>
      </c>
      <c r="F41" s="4" t="s">
        <v>16</v>
      </c>
      <c r="G41" s="5"/>
      <c r="H41" s="6" t="s">
        <v>16</v>
      </c>
      <c r="I41" s="5" t="s">
        <v>17</v>
      </c>
      <c r="J41" s="4" t="s">
        <v>18</v>
      </c>
      <c r="K41" s="5" t="s">
        <v>95</v>
      </c>
    </row>
    <row r="42" customFormat="false" ht="28.35" hidden="false" customHeight="false" outlineLevel="0" collapsed="false">
      <c r="A42" s="4" t="n">
        <v>38</v>
      </c>
      <c r="B42" s="5" t="s">
        <v>88</v>
      </c>
      <c r="C42" s="5" t="s">
        <v>96</v>
      </c>
      <c r="D42" s="4" t="s">
        <v>15</v>
      </c>
      <c r="E42" s="4" t="s">
        <v>16</v>
      </c>
      <c r="F42" s="4" t="s">
        <v>16</v>
      </c>
      <c r="G42" s="5"/>
      <c r="H42" s="6" t="s">
        <v>16</v>
      </c>
      <c r="I42" s="5" t="s">
        <v>17</v>
      </c>
      <c r="J42" s="4" t="s">
        <v>18</v>
      </c>
      <c r="K42" s="5" t="s">
        <v>97</v>
      </c>
    </row>
    <row r="43" customFormat="false" ht="28.35" hidden="false" customHeight="false" outlineLevel="0" collapsed="false">
      <c r="A43" s="4" t="n">
        <v>39</v>
      </c>
      <c r="B43" s="5" t="s">
        <v>88</v>
      </c>
      <c r="C43" s="5" t="s">
        <v>98</v>
      </c>
      <c r="D43" s="4" t="s">
        <v>15</v>
      </c>
      <c r="E43" s="4" t="s">
        <v>16</v>
      </c>
      <c r="F43" s="4" t="s">
        <v>16</v>
      </c>
      <c r="G43" s="5"/>
      <c r="H43" s="6" t="s">
        <v>16</v>
      </c>
      <c r="I43" s="5" t="s">
        <v>17</v>
      </c>
      <c r="J43" s="4" t="s">
        <v>18</v>
      </c>
      <c r="K43" s="5" t="s">
        <v>99</v>
      </c>
    </row>
    <row r="44" customFormat="false" ht="28.35" hidden="false" customHeight="false" outlineLevel="0" collapsed="false">
      <c r="A44" s="4" t="n">
        <v>40</v>
      </c>
      <c r="B44" s="5" t="s">
        <v>88</v>
      </c>
      <c r="C44" s="5" t="s">
        <v>100</v>
      </c>
      <c r="D44" s="4" t="s">
        <v>15</v>
      </c>
      <c r="E44" s="4" t="s">
        <v>16</v>
      </c>
      <c r="F44" s="4" t="s">
        <v>16</v>
      </c>
      <c r="G44" s="5"/>
      <c r="H44" s="6" t="s">
        <v>16</v>
      </c>
      <c r="I44" s="5" t="s">
        <v>17</v>
      </c>
      <c r="J44" s="4" t="s">
        <v>18</v>
      </c>
      <c r="K44" s="5" t="s">
        <v>19</v>
      </c>
    </row>
    <row r="45" customFormat="false" ht="28.35" hidden="false" customHeight="false" outlineLevel="0" collapsed="false">
      <c r="A45" s="4" t="n">
        <v>41</v>
      </c>
      <c r="B45" s="5" t="s">
        <v>88</v>
      </c>
      <c r="C45" s="5" t="s">
        <v>101</v>
      </c>
      <c r="D45" s="4" t="s">
        <v>15</v>
      </c>
      <c r="E45" s="4" t="s">
        <v>16</v>
      </c>
      <c r="F45" s="4" t="s">
        <v>16</v>
      </c>
      <c r="G45" s="5"/>
      <c r="H45" s="6" t="s">
        <v>16</v>
      </c>
      <c r="I45" s="5" t="s">
        <v>17</v>
      </c>
      <c r="J45" s="4" t="s">
        <v>18</v>
      </c>
      <c r="K45" s="5" t="s">
        <v>102</v>
      </c>
    </row>
    <row r="46" customFormat="false" ht="28.35" hidden="false" customHeight="false" outlineLevel="0" collapsed="false">
      <c r="A46" s="4" t="n">
        <v>42</v>
      </c>
      <c r="B46" s="5" t="s">
        <v>88</v>
      </c>
      <c r="C46" s="5" t="s">
        <v>103</v>
      </c>
      <c r="D46" s="4" t="s">
        <v>15</v>
      </c>
      <c r="E46" s="4" t="s">
        <v>16</v>
      </c>
      <c r="F46" s="4" t="s">
        <v>16</v>
      </c>
      <c r="G46" s="5"/>
      <c r="H46" s="6" t="s">
        <v>16</v>
      </c>
      <c r="I46" s="5" t="s">
        <v>17</v>
      </c>
      <c r="J46" s="4" t="s">
        <v>18</v>
      </c>
      <c r="K46" s="5" t="s">
        <v>19</v>
      </c>
    </row>
    <row r="47" customFormat="false" ht="28.35" hidden="false" customHeight="false" outlineLevel="0" collapsed="false">
      <c r="A47" s="4" t="n">
        <v>43</v>
      </c>
      <c r="B47" s="5" t="s">
        <v>88</v>
      </c>
      <c r="C47" s="5" t="s">
        <v>104</v>
      </c>
      <c r="D47" s="4" t="s">
        <v>15</v>
      </c>
      <c r="E47" s="4" t="s">
        <v>16</v>
      </c>
      <c r="F47" s="4" t="s">
        <v>16</v>
      </c>
      <c r="G47" s="5"/>
      <c r="H47" s="6" t="s">
        <v>16</v>
      </c>
      <c r="I47" s="5" t="s">
        <v>17</v>
      </c>
      <c r="J47" s="4" t="s">
        <v>18</v>
      </c>
      <c r="K47" s="5" t="s">
        <v>19</v>
      </c>
    </row>
    <row r="48" customFormat="false" ht="28.35" hidden="false" customHeight="false" outlineLevel="0" collapsed="false">
      <c r="A48" s="4" t="n">
        <v>44</v>
      </c>
      <c r="B48" s="5" t="s">
        <v>88</v>
      </c>
      <c r="C48" s="5" t="s">
        <v>105</v>
      </c>
      <c r="D48" s="4" t="s">
        <v>15</v>
      </c>
      <c r="E48" s="4" t="s">
        <v>16</v>
      </c>
      <c r="F48" s="4" t="s">
        <v>16</v>
      </c>
      <c r="G48" s="5"/>
      <c r="H48" s="6" t="s">
        <v>16</v>
      </c>
      <c r="I48" s="5" t="s">
        <v>17</v>
      </c>
      <c r="J48" s="4" t="s">
        <v>18</v>
      </c>
      <c r="K48" s="5" t="s">
        <v>106</v>
      </c>
    </row>
    <row r="49" customFormat="false" ht="41.75" hidden="false" customHeight="false" outlineLevel="0" collapsed="false">
      <c r="A49" s="4" t="n">
        <v>45</v>
      </c>
      <c r="B49" s="5" t="s">
        <v>88</v>
      </c>
      <c r="C49" s="5" t="s">
        <v>107</v>
      </c>
      <c r="D49" s="4" t="s">
        <v>15</v>
      </c>
      <c r="E49" s="4" t="s">
        <v>16</v>
      </c>
      <c r="F49" s="4" t="s">
        <v>16</v>
      </c>
      <c r="G49" s="5"/>
      <c r="H49" s="6" t="s">
        <v>16</v>
      </c>
      <c r="I49" s="5" t="s">
        <v>17</v>
      </c>
      <c r="J49" s="4" t="s">
        <v>18</v>
      </c>
      <c r="K49" s="5" t="s">
        <v>108</v>
      </c>
    </row>
    <row r="50" customFormat="false" ht="28.35" hidden="false" customHeight="false" outlineLevel="0" collapsed="false">
      <c r="A50" s="4" t="n">
        <v>46</v>
      </c>
      <c r="B50" s="5" t="s">
        <v>88</v>
      </c>
      <c r="C50" s="5" t="s">
        <v>109</v>
      </c>
      <c r="D50" s="4" t="s">
        <v>15</v>
      </c>
      <c r="E50" s="4" t="s">
        <v>16</v>
      </c>
      <c r="F50" s="4" t="s">
        <v>16</v>
      </c>
      <c r="G50" s="5"/>
      <c r="H50" s="6" t="s">
        <v>16</v>
      </c>
      <c r="I50" s="5" t="s">
        <v>17</v>
      </c>
      <c r="J50" s="4" t="s">
        <v>18</v>
      </c>
      <c r="K50" s="5" t="s">
        <v>19</v>
      </c>
    </row>
    <row r="51" customFormat="false" ht="28.35" hidden="false" customHeight="false" outlineLevel="0" collapsed="false">
      <c r="A51" s="4" t="n">
        <v>47</v>
      </c>
      <c r="B51" s="5" t="s">
        <v>88</v>
      </c>
      <c r="C51" s="5" t="s">
        <v>110</v>
      </c>
      <c r="D51" s="4" t="s">
        <v>15</v>
      </c>
      <c r="E51" s="4" t="s">
        <v>16</v>
      </c>
      <c r="F51" s="4" t="s">
        <v>16</v>
      </c>
      <c r="G51" s="5"/>
      <c r="H51" s="6" t="s">
        <v>16</v>
      </c>
      <c r="I51" s="5" t="s">
        <v>17</v>
      </c>
      <c r="J51" s="4" t="s">
        <v>18</v>
      </c>
      <c r="K51" s="5" t="s">
        <v>111</v>
      </c>
    </row>
    <row r="52" customFormat="false" ht="28.35" hidden="false" customHeight="false" outlineLevel="0" collapsed="false">
      <c r="A52" s="4" t="n">
        <v>48</v>
      </c>
      <c r="B52" s="5" t="s">
        <v>88</v>
      </c>
      <c r="C52" s="5" t="s">
        <v>112</v>
      </c>
      <c r="D52" s="4" t="s">
        <v>15</v>
      </c>
      <c r="E52" s="4" t="s">
        <v>16</v>
      </c>
      <c r="F52" s="4" t="s">
        <v>16</v>
      </c>
      <c r="G52" s="5"/>
      <c r="H52" s="6" t="s">
        <v>16</v>
      </c>
      <c r="I52" s="5" t="s">
        <v>17</v>
      </c>
      <c r="J52" s="4" t="s">
        <v>18</v>
      </c>
      <c r="K52" s="5" t="s">
        <v>19</v>
      </c>
    </row>
    <row r="53" customFormat="false" ht="28.35" hidden="false" customHeight="false" outlineLevel="0" collapsed="false">
      <c r="A53" s="4" t="n">
        <v>49</v>
      </c>
      <c r="B53" s="5" t="s">
        <v>88</v>
      </c>
      <c r="C53" s="5" t="s">
        <v>113</v>
      </c>
      <c r="D53" s="4" t="s">
        <v>15</v>
      </c>
      <c r="E53" s="4" t="s">
        <v>16</v>
      </c>
      <c r="F53" s="4" t="s">
        <v>16</v>
      </c>
      <c r="G53" s="5"/>
      <c r="H53" s="6" t="s">
        <v>16</v>
      </c>
      <c r="I53" s="5" t="s">
        <v>17</v>
      </c>
      <c r="J53" s="4" t="s">
        <v>18</v>
      </c>
      <c r="K53" s="5" t="s">
        <v>19</v>
      </c>
    </row>
    <row r="54" customFormat="false" ht="28.35" hidden="false" customHeight="false" outlineLevel="0" collapsed="false">
      <c r="A54" s="4" t="n">
        <v>50</v>
      </c>
      <c r="B54" s="5" t="s">
        <v>114</v>
      </c>
      <c r="C54" s="5" t="s">
        <v>115</v>
      </c>
      <c r="D54" s="4" t="s">
        <v>51</v>
      </c>
      <c r="E54" s="4" t="n">
        <v>14</v>
      </c>
      <c r="F54" s="4" t="s">
        <v>18</v>
      </c>
      <c r="G54" s="7" t="s">
        <v>35</v>
      </c>
      <c r="H54" s="6" t="s">
        <v>42</v>
      </c>
      <c r="I54" s="5" t="s">
        <v>23</v>
      </c>
      <c r="J54" s="4" t="s">
        <v>24</v>
      </c>
      <c r="K54" s="5" t="s">
        <v>116</v>
      </c>
    </row>
    <row r="55" customFormat="false" ht="28.35" hidden="false" customHeight="false" outlineLevel="0" collapsed="false">
      <c r="A55" s="4" t="n">
        <v>51</v>
      </c>
      <c r="B55" s="5" t="s">
        <v>114</v>
      </c>
      <c r="C55" s="5" t="s">
        <v>117</v>
      </c>
      <c r="D55" s="4" t="s">
        <v>51</v>
      </c>
      <c r="E55" s="4" t="s">
        <v>16</v>
      </c>
      <c r="F55" s="4" t="s">
        <v>16</v>
      </c>
      <c r="G55" s="5"/>
      <c r="H55" s="6" t="s">
        <v>16</v>
      </c>
      <c r="I55" s="5" t="s">
        <v>17</v>
      </c>
      <c r="J55" s="4" t="s">
        <v>18</v>
      </c>
      <c r="K55" s="5" t="s">
        <v>92</v>
      </c>
    </row>
    <row r="56" customFormat="false" ht="28.35" hidden="false" customHeight="false" outlineLevel="0" collapsed="false">
      <c r="A56" s="4" t="n">
        <v>52</v>
      </c>
      <c r="B56" s="5" t="s">
        <v>114</v>
      </c>
      <c r="C56" s="5" t="s">
        <v>118</v>
      </c>
      <c r="D56" s="4" t="s">
        <v>51</v>
      </c>
      <c r="E56" s="4" t="s">
        <v>16</v>
      </c>
      <c r="F56" s="4" t="s">
        <v>16</v>
      </c>
      <c r="G56" s="5"/>
      <c r="H56" s="6" t="s">
        <v>16</v>
      </c>
      <c r="I56" s="5" t="s">
        <v>17</v>
      </c>
      <c r="J56" s="4" t="s">
        <v>18</v>
      </c>
      <c r="K56" s="5" t="s">
        <v>19</v>
      </c>
    </row>
    <row r="57" customFormat="false" ht="28.35" hidden="false" customHeight="false" outlineLevel="0" collapsed="false">
      <c r="A57" s="4" t="n">
        <v>53</v>
      </c>
      <c r="B57" s="5" t="s">
        <v>114</v>
      </c>
      <c r="C57" s="5" t="s">
        <v>119</v>
      </c>
      <c r="D57" s="4" t="s">
        <v>51</v>
      </c>
      <c r="E57" s="4" t="s">
        <v>16</v>
      </c>
      <c r="F57" s="4" t="s">
        <v>16</v>
      </c>
      <c r="G57" s="5"/>
      <c r="H57" s="6" t="s">
        <v>16</v>
      </c>
      <c r="I57" s="5" t="s">
        <v>17</v>
      </c>
      <c r="J57" s="4" t="s">
        <v>18</v>
      </c>
      <c r="K57" s="5" t="s">
        <v>95</v>
      </c>
    </row>
    <row r="58" customFormat="false" ht="28.35" hidden="false" customHeight="false" outlineLevel="0" collapsed="false">
      <c r="A58" s="4" t="n">
        <v>54</v>
      </c>
      <c r="B58" s="5" t="s">
        <v>114</v>
      </c>
      <c r="C58" s="5" t="s">
        <v>120</v>
      </c>
      <c r="D58" s="4" t="s">
        <v>51</v>
      </c>
      <c r="E58" s="4" t="s">
        <v>16</v>
      </c>
      <c r="F58" s="4" t="s">
        <v>16</v>
      </c>
      <c r="G58" s="5"/>
      <c r="H58" s="6" t="s">
        <v>16</v>
      </c>
      <c r="I58" s="5" t="s">
        <v>17</v>
      </c>
      <c r="J58" s="4" t="s">
        <v>18</v>
      </c>
      <c r="K58" s="5" t="s">
        <v>97</v>
      </c>
    </row>
    <row r="59" customFormat="false" ht="28.35" hidden="false" customHeight="false" outlineLevel="0" collapsed="false">
      <c r="A59" s="4" t="n">
        <v>55</v>
      </c>
      <c r="B59" s="5" t="s">
        <v>114</v>
      </c>
      <c r="C59" s="5" t="s">
        <v>121</v>
      </c>
      <c r="D59" s="4" t="s">
        <v>51</v>
      </c>
      <c r="E59" s="4" t="s">
        <v>16</v>
      </c>
      <c r="F59" s="4" t="s">
        <v>16</v>
      </c>
      <c r="G59" s="5"/>
      <c r="H59" s="6" t="s">
        <v>16</v>
      </c>
      <c r="I59" s="5" t="s">
        <v>17</v>
      </c>
      <c r="J59" s="4" t="s">
        <v>18</v>
      </c>
      <c r="K59" s="5" t="s">
        <v>99</v>
      </c>
    </row>
    <row r="60" customFormat="false" ht="28.35" hidden="false" customHeight="false" outlineLevel="0" collapsed="false">
      <c r="A60" s="4" t="n">
        <v>56</v>
      </c>
      <c r="B60" s="5" t="s">
        <v>114</v>
      </c>
      <c r="C60" s="5" t="s">
        <v>122</v>
      </c>
      <c r="D60" s="4" t="s">
        <v>51</v>
      </c>
      <c r="E60" s="4" t="s">
        <v>16</v>
      </c>
      <c r="F60" s="4" t="s">
        <v>16</v>
      </c>
      <c r="G60" s="5"/>
      <c r="H60" s="6" t="s">
        <v>16</v>
      </c>
      <c r="I60" s="5" t="s">
        <v>17</v>
      </c>
      <c r="J60" s="4" t="s">
        <v>18</v>
      </c>
      <c r="K60" s="5" t="s">
        <v>19</v>
      </c>
    </row>
    <row r="61" customFormat="false" ht="28.35" hidden="false" customHeight="false" outlineLevel="0" collapsed="false">
      <c r="A61" s="4" t="n">
        <v>57</v>
      </c>
      <c r="B61" s="5" t="s">
        <v>114</v>
      </c>
      <c r="C61" s="5" t="s">
        <v>123</v>
      </c>
      <c r="D61" s="4" t="s">
        <v>51</v>
      </c>
      <c r="E61" s="4" t="s">
        <v>16</v>
      </c>
      <c r="F61" s="4" t="s">
        <v>16</v>
      </c>
      <c r="G61" s="5"/>
      <c r="H61" s="6" t="s">
        <v>16</v>
      </c>
      <c r="I61" s="5" t="s">
        <v>17</v>
      </c>
      <c r="J61" s="4" t="s">
        <v>18</v>
      </c>
      <c r="K61" s="5" t="s">
        <v>102</v>
      </c>
    </row>
    <row r="62" customFormat="false" ht="28.35" hidden="false" customHeight="false" outlineLevel="0" collapsed="false">
      <c r="A62" s="4" t="n">
        <v>58</v>
      </c>
      <c r="B62" s="5" t="s">
        <v>114</v>
      </c>
      <c r="C62" s="5" t="s">
        <v>124</v>
      </c>
      <c r="D62" s="4" t="s">
        <v>51</v>
      </c>
      <c r="E62" s="4" t="s">
        <v>16</v>
      </c>
      <c r="F62" s="4" t="s">
        <v>16</v>
      </c>
      <c r="G62" s="5"/>
      <c r="H62" s="6" t="s">
        <v>16</v>
      </c>
      <c r="I62" s="5" t="s">
        <v>17</v>
      </c>
      <c r="J62" s="4" t="s">
        <v>18</v>
      </c>
      <c r="K62" s="5" t="s">
        <v>19</v>
      </c>
    </row>
    <row r="63" customFormat="false" ht="28.35" hidden="false" customHeight="false" outlineLevel="0" collapsed="false">
      <c r="A63" s="4" t="n">
        <v>59</v>
      </c>
      <c r="B63" s="5" t="s">
        <v>114</v>
      </c>
      <c r="C63" s="5" t="s">
        <v>125</v>
      </c>
      <c r="D63" s="4" t="s">
        <v>51</v>
      </c>
      <c r="E63" s="4" t="s">
        <v>16</v>
      </c>
      <c r="F63" s="4" t="s">
        <v>16</v>
      </c>
      <c r="G63" s="5"/>
      <c r="H63" s="6" t="s">
        <v>16</v>
      </c>
      <c r="I63" s="5" t="s">
        <v>17</v>
      </c>
      <c r="J63" s="4" t="s">
        <v>18</v>
      </c>
      <c r="K63" s="5" t="s">
        <v>19</v>
      </c>
    </row>
    <row r="64" customFormat="false" ht="28.35" hidden="false" customHeight="false" outlineLevel="0" collapsed="false">
      <c r="A64" s="4" t="n">
        <v>60</v>
      </c>
      <c r="B64" s="5" t="s">
        <v>114</v>
      </c>
      <c r="C64" s="5" t="s">
        <v>126</v>
      </c>
      <c r="D64" s="4" t="s">
        <v>51</v>
      </c>
      <c r="E64" s="4" t="s">
        <v>16</v>
      </c>
      <c r="F64" s="4" t="s">
        <v>16</v>
      </c>
      <c r="G64" s="5"/>
      <c r="H64" s="6" t="s">
        <v>16</v>
      </c>
      <c r="I64" s="5" t="s">
        <v>17</v>
      </c>
      <c r="J64" s="4" t="s">
        <v>18</v>
      </c>
      <c r="K64" s="5" t="s">
        <v>106</v>
      </c>
    </row>
    <row r="65" customFormat="false" ht="41.75" hidden="false" customHeight="false" outlineLevel="0" collapsed="false">
      <c r="A65" s="4" t="n">
        <v>61</v>
      </c>
      <c r="B65" s="5" t="s">
        <v>114</v>
      </c>
      <c r="C65" s="5" t="s">
        <v>127</v>
      </c>
      <c r="D65" s="4" t="s">
        <v>51</v>
      </c>
      <c r="E65" s="4" t="s">
        <v>16</v>
      </c>
      <c r="F65" s="4" t="s">
        <v>16</v>
      </c>
      <c r="G65" s="5"/>
      <c r="H65" s="6" t="s">
        <v>16</v>
      </c>
      <c r="I65" s="5" t="s">
        <v>17</v>
      </c>
      <c r="J65" s="4" t="s">
        <v>18</v>
      </c>
      <c r="K65" s="5" t="s">
        <v>108</v>
      </c>
    </row>
    <row r="66" customFormat="false" ht="28.35" hidden="false" customHeight="false" outlineLevel="0" collapsed="false">
      <c r="A66" s="4" t="n">
        <v>62</v>
      </c>
      <c r="B66" s="5" t="s">
        <v>114</v>
      </c>
      <c r="C66" s="5" t="s">
        <v>128</v>
      </c>
      <c r="D66" s="4" t="s">
        <v>51</v>
      </c>
      <c r="E66" s="4" t="s">
        <v>16</v>
      </c>
      <c r="F66" s="4" t="s">
        <v>16</v>
      </c>
      <c r="G66" s="5"/>
      <c r="H66" s="6" t="s">
        <v>16</v>
      </c>
      <c r="I66" s="5" t="s">
        <v>17</v>
      </c>
      <c r="J66" s="4" t="s">
        <v>18</v>
      </c>
      <c r="K66" s="5" t="s">
        <v>19</v>
      </c>
    </row>
    <row r="67" customFormat="false" ht="28.35" hidden="false" customHeight="false" outlineLevel="0" collapsed="false">
      <c r="A67" s="4" t="n">
        <v>63</v>
      </c>
      <c r="B67" s="5" t="s">
        <v>114</v>
      </c>
      <c r="C67" s="5" t="s">
        <v>129</v>
      </c>
      <c r="D67" s="4" t="s">
        <v>51</v>
      </c>
      <c r="E67" s="4" t="s">
        <v>16</v>
      </c>
      <c r="F67" s="4" t="s">
        <v>16</v>
      </c>
      <c r="G67" s="5"/>
      <c r="H67" s="6" t="s">
        <v>16</v>
      </c>
      <c r="I67" s="5" t="s">
        <v>17</v>
      </c>
      <c r="J67" s="4" t="s">
        <v>18</v>
      </c>
      <c r="K67" s="5" t="s">
        <v>111</v>
      </c>
    </row>
    <row r="68" customFormat="false" ht="28.35" hidden="false" customHeight="false" outlineLevel="0" collapsed="false">
      <c r="A68" s="4" t="n">
        <v>64</v>
      </c>
      <c r="B68" s="5" t="s">
        <v>114</v>
      </c>
      <c r="C68" s="5" t="s">
        <v>130</v>
      </c>
      <c r="D68" s="4" t="s">
        <v>51</v>
      </c>
      <c r="E68" s="4" t="s">
        <v>16</v>
      </c>
      <c r="F68" s="4" t="s">
        <v>16</v>
      </c>
      <c r="G68" s="5"/>
      <c r="H68" s="6" t="s">
        <v>16</v>
      </c>
      <c r="I68" s="5" t="s">
        <v>17</v>
      </c>
      <c r="J68" s="4" t="s">
        <v>18</v>
      </c>
      <c r="K68" s="5" t="s">
        <v>19</v>
      </c>
    </row>
    <row r="69" customFormat="false" ht="28.35" hidden="false" customHeight="false" outlineLevel="0" collapsed="false">
      <c r="A69" s="4" t="n">
        <v>65</v>
      </c>
      <c r="B69" s="5" t="s">
        <v>114</v>
      </c>
      <c r="C69" s="5" t="s">
        <v>131</v>
      </c>
      <c r="D69" s="4" t="s">
        <v>51</v>
      </c>
      <c r="E69" s="4" t="s">
        <v>16</v>
      </c>
      <c r="F69" s="4" t="s">
        <v>16</v>
      </c>
      <c r="G69" s="5"/>
      <c r="H69" s="6" t="s">
        <v>16</v>
      </c>
      <c r="I69" s="5" t="s">
        <v>17</v>
      </c>
      <c r="J69" s="4" t="s">
        <v>18</v>
      </c>
      <c r="K69" s="5" t="s">
        <v>132</v>
      </c>
    </row>
    <row r="70" customFormat="false" ht="28.35" hidden="false" customHeight="false" outlineLevel="0" collapsed="false">
      <c r="A70" s="4" t="n">
        <v>66</v>
      </c>
      <c r="B70" s="5" t="s">
        <v>133</v>
      </c>
      <c r="C70" s="5" t="s">
        <v>134</v>
      </c>
      <c r="D70" s="4" t="s">
        <v>71</v>
      </c>
      <c r="E70" s="4" t="s">
        <v>135</v>
      </c>
      <c r="F70" s="4" t="s">
        <v>18</v>
      </c>
      <c r="G70" s="5"/>
      <c r="H70" s="6" t="s">
        <v>22</v>
      </c>
      <c r="I70" s="5" t="s">
        <v>23</v>
      </c>
      <c r="J70" s="4" t="s">
        <v>24</v>
      </c>
      <c r="K70" s="5" t="s">
        <v>136</v>
      </c>
    </row>
    <row r="71" customFormat="false" ht="28.35" hidden="false" customHeight="false" outlineLevel="0" collapsed="false">
      <c r="A71" s="4" t="n">
        <v>67</v>
      </c>
      <c r="B71" s="5" t="s">
        <v>133</v>
      </c>
      <c r="C71" s="5" t="s">
        <v>137</v>
      </c>
      <c r="D71" s="4" t="s">
        <v>71</v>
      </c>
      <c r="E71" s="4" t="n">
        <v>3</v>
      </c>
      <c r="F71" s="4" t="s">
        <v>18</v>
      </c>
      <c r="G71" s="7" t="s">
        <v>82</v>
      </c>
      <c r="H71" s="6" t="s">
        <v>66</v>
      </c>
      <c r="I71" s="5" t="s">
        <v>23</v>
      </c>
      <c r="J71" s="4" t="s">
        <v>24</v>
      </c>
      <c r="K71" s="5" t="s">
        <v>138</v>
      </c>
    </row>
    <row r="72" customFormat="false" ht="28.35" hidden="false" customHeight="false" outlineLevel="0" collapsed="false">
      <c r="A72" s="4" t="n">
        <v>68</v>
      </c>
      <c r="B72" s="5" t="s">
        <v>133</v>
      </c>
      <c r="C72" s="5" t="s">
        <v>139</v>
      </c>
      <c r="D72" s="4" t="s">
        <v>71</v>
      </c>
      <c r="E72" s="4" t="s">
        <v>16</v>
      </c>
      <c r="F72" s="4" t="s">
        <v>16</v>
      </c>
      <c r="G72" s="5"/>
      <c r="H72" s="6" t="s">
        <v>16</v>
      </c>
      <c r="I72" s="5" t="s">
        <v>17</v>
      </c>
      <c r="J72" s="4" t="s">
        <v>18</v>
      </c>
      <c r="K72" s="5" t="s">
        <v>19</v>
      </c>
    </row>
    <row r="73" customFormat="false" ht="28.35" hidden="false" customHeight="false" outlineLevel="0" collapsed="false">
      <c r="A73" s="4" t="n">
        <v>69</v>
      </c>
      <c r="B73" s="5" t="s">
        <v>133</v>
      </c>
      <c r="C73" s="5" t="s">
        <v>140</v>
      </c>
      <c r="D73" s="4" t="s">
        <v>71</v>
      </c>
      <c r="E73" s="4" t="s">
        <v>16</v>
      </c>
      <c r="F73" s="4" t="s">
        <v>16</v>
      </c>
      <c r="G73" s="5"/>
      <c r="H73" s="6" t="s">
        <v>16</v>
      </c>
      <c r="I73" s="5" t="s">
        <v>17</v>
      </c>
      <c r="J73" s="4" t="s">
        <v>18</v>
      </c>
      <c r="K73" s="5" t="s">
        <v>95</v>
      </c>
    </row>
    <row r="74" customFormat="false" ht="28.35" hidden="false" customHeight="false" outlineLevel="0" collapsed="false">
      <c r="A74" s="4" t="n">
        <v>70</v>
      </c>
      <c r="B74" s="5" t="s">
        <v>133</v>
      </c>
      <c r="C74" s="5" t="s">
        <v>141</v>
      </c>
      <c r="D74" s="4" t="s">
        <v>71</v>
      </c>
      <c r="E74" s="4" t="s">
        <v>16</v>
      </c>
      <c r="F74" s="4" t="s">
        <v>16</v>
      </c>
      <c r="G74" s="5"/>
      <c r="H74" s="6" t="s">
        <v>16</v>
      </c>
      <c r="I74" s="5" t="s">
        <v>17</v>
      </c>
      <c r="J74" s="4" t="s">
        <v>18</v>
      </c>
      <c r="K74" s="5" t="s">
        <v>97</v>
      </c>
    </row>
    <row r="75" customFormat="false" ht="28.35" hidden="false" customHeight="false" outlineLevel="0" collapsed="false">
      <c r="A75" s="4" t="n">
        <v>71</v>
      </c>
      <c r="B75" s="5" t="s">
        <v>133</v>
      </c>
      <c r="C75" s="5" t="s">
        <v>142</v>
      </c>
      <c r="D75" s="4" t="s">
        <v>71</v>
      </c>
      <c r="E75" s="4" t="s">
        <v>16</v>
      </c>
      <c r="F75" s="4" t="s">
        <v>16</v>
      </c>
      <c r="G75" s="5"/>
      <c r="H75" s="6" t="s">
        <v>16</v>
      </c>
      <c r="I75" s="5" t="s">
        <v>17</v>
      </c>
      <c r="J75" s="4" t="s">
        <v>18</v>
      </c>
      <c r="K75" s="5" t="s">
        <v>99</v>
      </c>
    </row>
    <row r="76" customFormat="false" ht="28.35" hidden="false" customHeight="false" outlineLevel="0" collapsed="false">
      <c r="A76" s="4" t="n">
        <v>72</v>
      </c>
      <c r="B76" s="5" t="s">
        <v>133</v>
      </c>
      <c r="C76" s="5" t="s">
        <v>143</v>
      </c>
      <c r="D76" s="4" t="s">
        <v>71</v>
      </c>
      <c r="E76" s="4" t="s">
        <v>16</v>
      </c>
      <c r="F76" s="4" t="s">
        <v>16</v>
      </c>
      <c r="G76" s="5"/>
      <c r="H76" s="6" t="s">
        <v>16</v>
      </c>
      <c r="I76" s="5" t="s">
        <v>17</v>
      </c>
      <c r="J76" s="4" t="s">
        <v>18</v>
      </c>
      <c r="K76" s="5" t="s">
        <v>19</v>
      </c>
    </row>
    <row r="77" customFormat="false" ht="28.35" hidden="false" customHeight="false" outlineLevel="0" collapsed="false">
      <c r="A77" s="4" t="n">
        <v>73</v>
      </c>
      <c r="B77" s="5" t="s">
        <v>133</v>
      </c>
      <c r="C77" s="5" t="s">
        <v>144</v>
      </c>
      <c r="D77" s="4" t="s">
        <v>71</v>
      </c>
      <c r="E77" s="4" t="s">
        <v>16</v>
      </c>
      <c r="F77" s="4" t="s">
        <v>16</v>
      </c>
      <c r="G77" s="5"/>
      <c r="H77" s="6" t="s">
        <v>16</v>
      </c>
      <c r="I77" s="5" t="s">
        <v>17</v>
      </c>
      <c r="J77" s="4" t="s">
        <v>18</v>
      </c>
      <c r="K77" s="5" t="s">
        <v>102</v>
      </c>
    </row>
    <row r="78" customFormat="false" ht="28.35" hidden="false" customHeight="false" outlineLevel="0" collapsed="false">
      <c r="A78" s="4" t="n">
        <v>74</v>
      </c>
      <c r="B78" s="5" t="s">
        <v>133</v>
      </c>
      <c r="C78" s="5" t="s">
        <v>145</v>
      </c>
      <c r="D78" s="4" t="s">
        <v>71</v>
      </c>
      <c r="E78" s="4" t="s">
        <v>16</v>
      </c>
      <c r="F78" s="4" t="s">
        <v>16</v>
      </c>
      <c r="G78" s="5"/>
      <c r="H78" s="6" t="s">
        <v>16</v>
      </c>
      <c r="I78" s="5" t="s">
        <v>17</v>
      </c>
      <c r="J78" s="4" t="s">
        <v>18</v>
      </c>
      <c r="K78" s="5" t="s">
        <v>19</v>
      </c>
    </row>
    <row r="79" customFormat="false" ht="28.35" hidden="false" customHeight="false" outlineLevel="0" collapsed="false">
      <c r="A79" s="4" t="n">
        <v>75</v>
      </c>
      <c r="B79" s="5" t="s">
        <v>133</v>
      </c>
      <c r="C79" s="5" t="s">
        <v>146</v>
      </c>
      <c r="D79" s="4" t="s">
        <v>71</v>
      </c>
      <c r="E79" s="4" t="s">
        <v>16</v>
      </c>
      <c r="F79" s="4" t="s">
        <v>16</v>
      </c>
      <c r="G79" s="5"/>
      <c r="H79" s="6" t="s">
        <v>16</v>
      </c>
      <c r="I79" s="5" t="s">
        <v>17</v>
      </c>
      <c r="J79" s="4" t="s">
        <v>18</v>
      </c>
      <c r="K79" s="5" t="s">
        <v>19</v>
      </c>
    </row>
    <row r="80" customFormat="false" ht="28.35" hidden="false" customHeight="false" outlineLevel="0" collapsed="false">
      <c r="A80" s="4" t="n">
        <v>76</v>
      </c>
      <c r="B80" s="5" t="s">
        <v>133</v>
      </c>
      <c r="C80" s="5" t="s">
        <v>147</v>
      </c>
      <c r="D80" s="4" t="s">
        <v>71</v>
      </c>
      <c r="E80" s="4" t="s">
        <v>16</v>
      </c>
      <c r="F80" s="4" t="s">
        <v>16</v>
      </c>
      <c r="G80" s="5"/>
      <c r="H80" s="6" t="s">
        <v>16</v>
      </c>
      <c r="I80" s="5" t="s">
        <v>17</v>
      </c>
      <c r="J80" s="4" t="s">
        <v>18</v>
      </c>
      <c r="K80" s="5" t="s">
        <v>106</v>
      </c>
    </row>
    <row r="81" customFormat="false" ht="41.75" hidden="false" customHeight="false" outlineLevel="0" collapsed="false">
      <c r="A81" s="4" t="n">
        <v>77</v>
      </c>
      <c r="B81" s="5" t="s">
        <v>133</v>
      </c>
      <c r="C81" s="5" t="s">
        <v>148</v>
      </c>
      <c r="D81" s="4" t="s">
        <v>71</v>
      </c>
      <c r="E81" s="4" t="s">
        <v>16</v>
      </c>
      <c r="F81" s="4" t="s">
        <v>16</v>
      </c>
      <c r="G81" s="5"/>
      <c r="H81" s="6" t="s">
        <v>16</v>
      </c>
      <c r="I81" s="5" t="s">
        <v>17</v>
      </c>
      <c r="J81" s="4" t="s">
        <v>18</v>
      </c>
      <c r="K81" s="5" t="s">
        <v>108</v>
      </c>
    </row>
    <row r="82" customFormat="false" ht="28.35" hidden="false" customHeight="false" outlineLevel="0" collapsed="false">
      <c r="A82" s="4" t="n">
        <v>78</v>
      </c>
      <c r="B82" s="5" t="s">
        <v>133</v>
      </c>
      <c r="C82" s="5" t="s">
        <v>149</v>
      </c>
      <c r="D82" s="4" t="s">
        <v>71</v>
      </c>
      <c r="E82" s="4" t="s">
        <v>16</v>
      </c>
      <c r="F82" s="4" t="s">
        <v>16</v>
      </c>
      <c r="G82" s="5"/>
      <c r="H82" s="6" t="s">
        <v>16</v>
      </c>
      <c r="I82" s="5" t="s">
        <v>17</v>
      </c>
      <c r="J82" s="4" t="s">
        <v>18</v>
      </c>
      <c r="K82" s="5" t="s">
        <v>19</v>
      </c>
    </row>
    <row r="83" customFormat="false" ht="28.35" hidden="false" customHeight="false" outlineLevel="0" collapsed="false">
      <c r="A83" s="4" t="n">
        <v>79</v>
      </c>
      <c r="B83" s="5" t="s">
        <v>133</v>
      </c>
      <c r="C83" s="5" t="s">
        <v>150</v>
      </c>
      <c r="D83" s="4" t="s">
        <v>71</v>
      </c>
      <c r="E83" s="4" t="s">
        <v>16</v>
      </c>
      <c r="F83" s="4" t="s">
        <v>16</v>
      </c>
      <c r="G83" s="5"/>
      <c r="H83" s="6" t="s">
        <v>16</v>
      </c>
      <c r="I83" s="5" t="s">
        <v>17</v>
      </c>
      <c r="J83" s="4" t="s">
        <v>18</v>
      </c>
      <c r="K83" s="5" t="s">
        <v>111</v>
      </c>
    </row>
    <row r="84" customFormat="false" ht="28.35" hidden="false" customHeight="false" outlineLevel="0" collapsed="false">
      <c r="A84" s="4" t="n">
        <v>80</v>
      </c>
      <c r="B84" s="5" t="s">
        <v>133</v>
      </c>
      <c r="C84" s="5" t="s">
        <v>151</v>
      </c>
      <c r="D84" s="4" t="s">
        <v>71</v>
      </c>
      <c r="E84" s="4" t="s">
        <v>16</v>
      </c>
      <c r="F84" s="4" t="s">
        <v>16</v>
      </c>
      <c r="G84" s="5"/>
      <c r="H84" s="6" t="s">
        <v>16</v>
      </c>
      <c r="I84" s="5" t="s">
        <v>17</v>
      </c>
      <c r="J84" s="4" t="s">
        <v>18</v>
      </c>
      <c r="K84" s="5" t="s">
        <v>19</v>
      </c>
    </row>
    <row r="85" customFormat="false" ht="28.35" hidden="false" customHeight="false" outlineLevel="0" collapsed="false">
      <c r="A85" s="4" t="n">
        <v>81</v>
      </c>
      <c r="B85" s="5" t="s">
        <v>133</v>
      </c>
      <c r="C85" s="5" t="s">
        <v>152</v>
      </c>
      <c r="D85" s="4" t="s">
        <v>71</v>
      </c>
      <c r="E85" s="4" t="s">
        <v>16</v>
      </c>
      <c r="F85" s="4" t="s">
        <v>16</v>
      </c>
      <c r="G85" s="5"/>
      <c r="H85" s="6" t="s">
        <v>16</v>
      </c>
      <c r="I85" s="5" t="s">
        <v>17</v>
      </c>
      <c r="J85" s="4" t="s">
        <v>18</v>
      </c>
      <c r="K85" s="5" t="s">
        <v>19</v>
      </c>
    </row>
  </sheetData>
  <autoFilter ref="A4:K85"/>
  <conditionalFormatting sqref="H5:H85">
    <cfRule type="expression" priority="2" aboveAverage="0" equalAverage="0" bottom="0" percent="0" rank="0" text="" dxfId="11">
      <formula>$H5="Top 3"</formula>
    </cfRule>
    <cfRule type="expression" priority="3" aboveAverage="0" equalAverage="0" bottom="0" percent="0" rank="0" text="" dxfId="12">
      <formula>$H5="Page 1 (4–10)"</formula>
    </cfRule>
    <cfRule type="expression" priority="4" aboveAverage="0" equalAverage="0" bottom="0" percent="0" rank="0" text="" dxfId="13">
      <formula>$H5="Page 2 (11–20)"</formula>
    </cfRule>
    <cfRule type="expression" priority="5" aboveAverage="0" equalAverage="0" bottom="0" percent="0" rank="0" text="" dxfId="14">
      <formula>$H5="Page 3+ (21–100)"</formula>
    </cfRule>
    <cfRule type="expression" priority="6" aboveAverage="0" equalAverage="0" bottom="0" percent="0" rank="0" text="" dxfId="15">
      <formula>$H5="Not in top 15 (live)"</formula>
    </cfRule>
    <cfRule type="expression" priority="7" aboveAverage="0" equalAverage="0" bottom="0" percent="0" rank="0" text="" dxfId="16">
      <formula>$H5="Not verified"</formula>
    </cfRule>
  </conditionalFormatting>
  <hyperlinks>
    <hyperlink ref="G8" r:id="rId1" display="https://cloudlearnerp.com/blog/2026/07/26/best-erp-training-institute-in-kolkata-sap-vs-other-erps-a-career-comparison/"/>
    <hyperlink ref="G9" r:id="rId2" display="https://www.cloudlearnerp.com/"/>
    <hyperlink ref="G12" r:id="rId3" display="https://www.cloudlearnerp.com/"/>
    <hyperlink ref="G14" r:id="rId4" display="https://www.cloudlearnerp.com/course/sap-training-in-kolkata"/>
    <hyperlink ref="G15" r:id="rId5" display="https://www.cloudlearnerp.com/"/>
    <hyperlink ref="G18" r:id="rId6" display="https://www.cloudlearnerp.com/"/>
    <hyperlink ref="G20" r:id="rId7" display="https://www.cloudlearnerp.com/"/>
    <hyperlink ref="G23" r:id="rId8" display="https://www.cloudlearnerp.com/"/>
    <hyperlink ref="G25" r:id="rId9" display="https://www.cloudlearnerp.com/"/>
    <hyperlink ref="G26" r:id="rId10" display="https://www.cloudlearnerp.com/"/>
    <hyperlink ref="G34" r:id="rId11" display="https://www.cloudlearnerp.com/course/sap-training-in-pune"/>
    <hyperlink ref="G37" r:id="rId12" display="https://www.cloudlearnerp.com/course/sap-training-in-pune"/>
    <hyperlink ref="G38" r:id="rId13" display="https://www.cloudlearnerp.com/"/>
    <hyperlink ref="G54" r:id="rId14" display="https://www.cloudlearnerp.com/"/>
    <hyperlink ref="G71" r:id="rId15" display="https://www.cloudlearnerp.com/course/sap-training-in-pun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8" min="2" style="0" width="16"/>
  </cols>
  <sheetData>
    <row r="1" customFormat="false" ht="17.35" hidden="false" customHeight="false" outlineLevel="0" collapsed="false">
      <c r="A1" s="1" t="s">
        <v>153</v>
      </c>
    </row>
    <row r="3" customFormat="false" ht="31.5" hidden="false" customHeight="true" outlineLevel="0" collapsed="false">
      <c r="A3" s="8" t="s">
        <v>3</v>
      </c>
      <c r="B3" s="8" t="s">
        <v>154</v>
      </c>
      <c r="C3" s="9" t="s">
        <v>66</v>
      </c>
      <c r="D3" s="10" t="s">
        <v>31</v>
      </c>
      <c r="E3" s="11" t="s">
        <v>42</v>
      </c>
      <c r="F3" s="12" t="s">
        <v>83</v>
      </c>
      <c r="G3" s="13" t="s">
        <v>22</v>
      </c>
      <c r="H3" s="14" t="s">
        <v>16</v>
      </c>
    </row>
    <row r="4" customFormat="false" ht="15" hidden="false" customHeight="false" outlineLevel="0" collapsed="false">
      <c r="A4" s="15" t="s">
        <v>13</v>
      </c>
      <c r="B4" s="16" t="n">
        <f aca="false">COUNTIF('Rank Report'!$B$5:$B$85,A4)</f>
        <v>11</v>
      </c>
      <c r="C4" s="16" t="n">
        <f aca="false">COUNTIFS('Rank Report'!$B$5:$B$85,$A4,'Rank Report'!$H$5:$H$85,"Top 3")</f>
        <v>0</v>
      </c>
      <c r="D4" s="16" t="n">
        <f aca="false">COUNTIFS('Rank Report'!$B$5:$B$85,$A4,'Rank Report'!$H$5:$H$85,"Page 1 (4–10)")</f>
        <v>3</v>
      </c>
      <c r="E4" s="16" t="n">
        <f aca="false">COUNTIFS('Rank Report'!$B$5:$B$85,$A4,'Rank Report'!$H$5:$H$85,"Page 2 (11–20)")</f>
        <v>2</v>
      </c>
      <c r="F4" s="16" t="n">
        <f aca="false">COUNTIFS('Rank Report'!$B$5:$B$85,$A4,'Rank Report'!$H$5:$H$85,"Page 3+ (21–100)")</f>
        <v>0</v>
      </c>
      <c r="G4" s="16" t="n">
        <f aca="false">COUNTIFS('Rank Report'!$B$5:$B$85,$A4,'Rank Report'!$H$5:$H$85,"Not in top 15 (live)")</f>
        <v>3</v>
      </c>
      <c r="H4" s="16" t="n">
        <f aca="false">COUNTIFS('Rank Report'!$B$5:$B$85,$A4,'Rank Report'!$H$5:$H$85,"Not verified")</f>
        <v>3</v>
      </c>
    </row>
    <row r="5" customFormat="false" ht="15" hidden="false" customHeight="false" outlineLevel="0" collapsed="false">
      <c r="A5" s="15" t="s">
        <v>49</v>
      </c>
      <c r="B5" s="16" t="n">
        <f aca="false">COUNTIF('Rank Report'!$B$5:$B$85,A5)</f>
        <v>11</v>
      </c>
      <c r="C5" s="16" t="n">
        <f aca="false">COUNTIFS('Rank Report'!$B$5:$B$85,$A5,'Rank Report'!$H$5:$H$85,"Top 3")</f>
        <v>1</v>
      </c>
      <c r="D5" s="16" t="n">
        <f aca="false">COUNTIFS('Rank Report'!$B$5:$B$85,$A5,'Rank Report'!$H$5:$H$85,"Page 1 (4–10)")</f>
        <v>2</v>
      </c>
      <c r="E5" s="16" t="n">
        <f aca="false">COUNTIFS('Rank Report'!$B$5:$B$85,$A5,'Rank Report'!$H$5:$H$85,"Page 2 (11–20)")</f>
        <v>2</v>
      </c>
      <c r="F5" s="16" t="n">
        <f aca="false">COUNTIFS('Rank Report'!$B$5:$B$85,$A5,'Rank Report'!$H$5:$H$85,"Page 3+ (21–100)")</f>
        <v>0</v>
      </c>
      <c r="G5" s="16" t="n">
        <f aca="false">COUNTIFS('Rank Report'!$B$5:$B$85,$A5,'Rank Report'!$H$5:$H$85,"Not in top 15 (live)")</f>
        <v>1</v>
      </c>
      <c r="H5" s="16" t="n">
        <f aca="false">COUNTIFS('Rank Report'!$B$5:$B$85,$A5,'Rank Report'!$H$5:$H$85,"Not verified")</f>
        <v>5</v>
      </c>
    </row>
    <row r="6" customFormat="false" ht="15" hidden="false" customHeight="false" outlineLevel="0" collapsed="false">
      <c r="A6" s="15" t="s">
        <v>69</v>
      </c>
      <c r="B6" s="16" t="n">
        <f aca="false">COUNTIF('Rank Report'!$B$5:$B$85,A6)</f>
        <v>11</v>
      </c>
      <c r="C6" s="16" t="n">
        <f aca="false">COUNTIFS('Rank Report'!$B$5:$B$85,$A6,'Rank Report'!$H$5:$H$85,"Top 3")</f>
        <v>0</v>
      </c>
      <c r="D6" s="16" t="n">
        <f aca="false">COUNTIFS('Rank Report'!$B$5:$B$85,$A6,'Rank Report'!$H$5:$H$85,"Page 1 (4–10)")</f>
        <v>0</v>
      </c>
      <c r="E6" s="16" t="n">
        <f aca="false">COUNTIFS('Rank Report'!$B$5:$B$85,$A6,'Rank Report'!$H$5:$H$85,"Page 2 (11–20)")</f>
        <v>1</v>
      </c>
      <c r="F6" s="16" t="n">
        <f aca="false">COUNTIFS('Rank Report'!$B$5:$B$85,$A6,'Rank Report'!$H$5:$H$85,"Page 3+ (21–100)")</f>
        <v>1</v>
      </c>
      <c r="G6" s="16" t="n">
        <f aca="false">COUNTIFS('Rank Report'!$B$5:$B$85,$A6,'Rank Report'!$H$5:$H$85,"Not in top 15 (live)")</f>
        <v>4</v>
      </c>
      <c r="H6" s="16" t="n">
        <f aca="false">COUNTIFS('Rank Report'!$B$5:$B$85,$A6,'Rank Report'!$H$5:$H$85,"Not verified")</f>
        <v>5</v>
      </c>
    </row>
    <row r="7" customFormat="false" ht="15" hidden="false" customHeight="false" outlineLevel="0" collapsed="false">
      <c r="A7" s="15" t="s">
        <v>88</v>
      </c>
      <c r="B7" s="16" t="n">
        <f aca="false">COUNTIF('Rank Report'!$B$5:$B$85,A7)</f>
        <v>16</v>
      </c>
      <c r="C7" s="16" t="n">
        <f aca="false">COUNTIFS('Rank Report'!$B$5:$B$85,$A7,'Rank Report'!$H$5:$H$85,"Top 3")</f>
        <v>0</v>
      </c>
      <c r="D7" s="16" t="n">
        <f aca="false">COUNTIFS('Rank Report'!$B$5:$B$85,$A7,'Rank Report'!$H$5:$H$85,"Page 1 (4–10)")</f>
        <v>0</v>
      </c>
      <c r="E7" s="16" t="n">
        <f aca="false">COUNTIFS('Rank Report'!$B$5:$B$85,$A7,'Rank Report'!$H$5:$H$85,"Page 2 (11–20)")</f>
        <v>0</v>
      </c>
      <c r="F7" s="16" t="n">
        <f aca="false">COUNTIFS('Rank Report'!$B$5:$B$85,$A7,'Rank Report'!$H$5:$H$85,"Page 3+ (21–100)")</f>
        <v>0</v>
      </c>
      <c r="G7" s="16" t="n">
        <f aca="false">COUNTIFS('Rank Report'!$B$5:$B$85,$A7,'Rank Report'!$H$5:$H$85,"Not in top 15 (live)")</f>
        <v>1</v>
      </c>
      <c r="H7" s="16" t="n">
        <f aca="false">COUNTIFS('Rank Report'!$B$5:$B$85,$A7,'Rank Report'!$H$5:$H$85,"Not verified")</f>
        <v>15</v>
      </c>
    </row>
    <row r="8" customFormat="false" ht="15" hidden="false" customHeight="false" outlineLevel="0" collapsed="false">
      <c r="A8" s="15" t="s">
        <v>114</v>
      </c>
      <c r="B8" s="16" t="n">
        <f aca="false">COUNTIF('Rank Report'!$B$5:$B$85,A8)</f>
        <v>16</v>
      </c>
      <c r="C8" s="16" t="n">
        <f aca="false">COUNTIFS('Rank Report'!$B$5:$B$85,$A8,'Rank Report'!$H$5:$H$85,"Top 3")</f>
        <v>0</v>
      </c>
      <c r="D8" s="16" t="n">
        <f aca="false">COUNTIFS('Rank Report'!$B$5:$B$85,$A8,'Rank Report'!$H$5:$H$85,"Page 1 (4–10)")</f>
        <v>0</v>
      </c>
      <c r="E8" s="16" t="n">
        <f aca="false">COUNTIFS('Rank Report'!$B$5:$B$85,$A8,'Rank Report'!$H$5:$H$85,"Page 2 (11–20)")</f>
        <v>1</v>
      </c>
      <c r="F8" s="16" t="n">
        <f aca="false">COUNTIFS('Rank Report'!$B$5:$B$85,$A8,'Rank Report'!$H$5:$H$85,"Page 3+ (21–100)")</f>
        <v>0</v>
      </c>
      <c r="G8" s="16" t="n">
        <f aca="false">COUNTIFS('Rank Report'!$B$5:$B$85,$A8,'Rank Report'!$H$5:$H$85,"Not in top 15 (live)")</f>
        <v>0</v>
      </c>
      <c r="H8" s="16" t="n">
        <f aca="false">COUNTIFS('Rank Report'!$B$5:$B$85,$A8,'Rank Report'!$H$5:$H$85,"Not verified")</f>
        <v>15</v>
      </c>
    </row>
    <row r="9" customFormat="false" ht="15" hidden="false" customHeight="false" outlineLevel="0" collapsed="false">
      <c r="A9" s="15" t="s">
        <v>133</v>
      </c>
      <c r="B9" s="16" t="n">
        <f aca="false">COUNTIF('Rank Report'!$B$5:$B$85,A9)</f>
        <v>16</v>
      </c>
      <c r="C9" s="16" t="n">
        <f aca="false">COUNTIFS('Rank Report'!$B$5:$B$85,$A9,'Rank Report'!$H$5:$H$85,"Top 3")</f>
        <v>1</v>
      </c>
      <c r="D9" s="16" t="n">
        <f aca="false">COUNTIFS('Rank Report'!$B$5:$B$85,$A9,'Rank Report'!$H$5:$H$85,"Page 1 (4–10)")</f>
        <v>0</v>
      </c>
      <c r="E9" s="16" t="n">
        <f aca="false">COUNTIFS('Rank Report'!$B$5:$B$85,$A9,'Rank Report'!$H$5:$H$85,"Page 2 (11–20)")</f>
        <v>0</v>
      </c>
      <c r="F9" s="16" t="n">
        <f aca="false">COUNTIFS('Rank Report'!$B$5:$B$85,$A9,'Rank Report'!$H$5:$H$85,"Page 3+ (21–100)")</f>
        <v>0</v>
      </c>
      <c r="G9" s="16" t="n">
        <f aca="false">COUNTIFS('Rank Report'!$B$5:$B$85,$A9,'Rank Report'!$H$5:$H$85,"Not in top 15 (live)")</f>
        <v>1</v>
      </c>
      <c r="H9" s="16" t="n">
        <f aca="false">COUNTIFS('Rank Report'!$B$5:$B$85,$A9,'Rank Report'!$H$5:$H$85,"Not verified")</f>
        <v>14</v>
      </c>
    </row>
    <row r="10" customFormat="false" ht="15" hidden="false" customHeight="false" outlineLevel="0" collapsed="false">
      <c r="A10" s="17" t="s">
        <v>155</v>
      </c>
      <c r="B10" s="18" t="n">
        <f aca="false">SUM(B4:B9)</f>
        <v>81</v>
      </c>
      <c r="C10" s="18" t="n">
        <f aca="false">SUM(C4:C9)</f>
        <v>2</v>
      </c>
      <c r="D10" s="18" t="n">
        <f aca="false">SUM(D4:D9)</f>
        <v>5</v>
      </c>
      <c r="E10" s="18" t="n">
        <f aca="false">SUM(E4:E9)</f>
        <v>6</v>
      </c>
      <c r="F10" s="18" t="n">
        <f aca="false">SUM(F4:F9)</f>
        <v>1</v>
      </c>
      <c r="G10" s="18" t="n">
        <f aca="false">SUM(G4:G9)</f>
        <v>10</v>
      </c>
      <c r="H10" s="18" t="n">
        <f aca="false">SUM(H4:H9)</f>
        <v>57</v>
      </c>
    </row>
    <row r="12" customFormat="false" ht="15" hidden="false" customHeight="false" outlineLevel="0" collapsed="false">
      <c r="A12" s="19" t="s">
        <v>156</v>
      </c>
    </row>
    <row r="13" customFormat="false" ht="15" hidden="false" customHeight="false" outlineLevel="0" collapsed="false">
      <c r="A13" s="20" t="s">
        <v>157</v>
      </c>
    </row>
    <row r="14" customFormat="false" ht="15" hidden="false" customHeight="false" outlineLevel="0" collapsed="false">
      <c r="A14" s="20" t="s">
        <v>158</v>
      </c>
    </row>
    <row r="15" customFormat="false" ht="15" hidden="false" customHeight="false" outlineLevel="0" collapsed="false">
      <c r="A15" s="20" t="s">
        <v>159</v>
      </c>
    </row>
    <row r="16" customFormat="false" ht="15" hidden="false" customHeight="false" outlineLevel="0" collapsed="false">
      <c r="A16" s="20"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21" t="s">
        <v>161</v>
      </c>
    </row>
    <row r="2" customFormat="false" ht="15" hidden="false" customHeight="false" outlineLevel="0" collapsed="false">
      <c r="A2" s="22"/>
    </row>
    <row r="3" customFormat="false" ht="41.75" hidden="false" customHeight="false" outlineLevel="0" collapsed="false">
      <c r="A3" s="22" t="s">
        <v>162</v>
      </c>
    </row>
    <row r="4" customFormat="false" ht="28.35" hidden="false" customHeight="false" outlineLevel="0" collapsed="false">
      <c r="A4" s="22" t="s">
        <v>163</v>
      </c>
    </row>
    <row r="5" customFormat="false" ht="41.75" hidden="false" customHeight="false" outlineLevel="0" collapsed="false">
      <c r="A5" s="22" t="s">
        <v>164</v>
      </c>
    </row>
    <row r="6" customFormat="false" ht="15" hidden="false" customHeight="false" outlineLevel="0" collapsed="false">
      <c r="A6" s="22"/>
    </row>
    <row r="7" customFormat="false" ht="15" hidden="false" customHeight="false" outlineLevel="0" collapsed="false">
      <c r="A7" s="21" t="s">
        <v>12</v>
      </c>
    </row>
    <row r="8" customFormat="false" ht="28.35" hidden="false" customHeight="false" outlineLevel="0" collapsed="false">
      <c r="A8" s="22" t="s">
        <v>165</v>
      </c>
    </row>
    <row r="9" customFormat="false" ht="15" hidden="false" customHeight="false" outlineLevel="0" collapsed="false">
      <c r="A9" s="22" t="s">
        <v>166</v>
      </c>
    </row>
    <row r="10" customFormat="false" ht="15" hidden="false" customHeight="false" outlineLevel="0" collapsed="false">
      <c r="A10" s="22" t="s">
        <v>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2026-10-12T05:06:34Z</dcterms:created>
  <dc:creator>openpyxl</dc:creator>
  <dc:description/>
  <dc:language>en-US</dc:language>
  <cp:lastModifiedBy/>
  <dcterms:modified xsi:type="dcterms:W3CDTF">2026-10-12T05:06:34Z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